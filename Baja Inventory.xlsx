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fshan Rehan\Downloads\"/>
    </mc:Choice>
  </mc:AlternateContent>
  <xr:revisionPtr revIDLastSave="0" documentId="13_ncr:1_{12E662A7-F370-48E9-869B-5BC37F3B3CB7}" xr6:coauthVersionLast="47" xr6:coauthVersionMax="47" xr10:uidLastSave="{00000000-0000-0000-0000-000000000000}"/>
  <bookViews>
    <workbookView xWindow="28680" yWindow="-120" windowWidth="29040" windowHeight="15720" xr2:uid="{087018B9-1998-46ED-A62C-583BC472ABE7}"/>
  </bookViews>
  <sheets>
    <sheet name="README" sheetId="12" r:id="rId1"/>
    <sheet name="Search Dashboard" sheetId="13" r:id="rId2"/>
    <sheet name="Parts Logistics" sheetId="8" r:id="rId3"/>
    <sheet name="Supplier Data" sheetId="11" r:id="rId4"/>
    <sheet name="Main Inventory" sheetId="1" r:id="rId5"/>
    <sheet name="Chemical Inventory" sheetId="4" r:id="rId6"/>
  </sheets>
  <definedNames>
    <definedName name="Slicer_Criticality">#N/A</definedName>
    <definedName name="Slicer_Drawer_Location">#N/A</definedName>
    <definedName name="Slicer_Subsystem">#N/A</definedName>
    <definedName name="Slicer_Subsystem1">#N/A</definedName>
    <definedName name="Slicer_Supplier">#N/A</definedName>
  </definedNames>
  <calcPr calcId="191029"/>
  <pivotCaches>
    <pivotCache cacheId="4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3" l="1"/>
  <c r="F7" i="13" s="1"/>
  <c r="F5" i="13"/>
  <c r="C5" i="13"/>
  <c r="C7" i="13"/>
  <c r="C6" i="13"/>
  <c r="C4" i="13"/>
  <c r="K2" i="1"/>
  <c r="O53" i="1"/>
  <c r="P53" i="1" s="1"/>
  <c r="Q53" i="1" s="1"/>
  <c r="O127" i="1"/>
  <c r="P127" i="1" s="1"/>
  <c r="Q127" i="1" s="1"/>
  <c r="O12" i="1"/>
  <c r="P12" i="1" s="1"/>
  <c r="Q12" i="1" s="1"/>
  <c r="O130" i="1"/>
  <c r="P130" i="1" s="1"/>
  <c r="Q130" i="1" s="1"/>
  <c r="O3" i="1"/>
  <c r="P3" i="1" s="1"/>
  <c r="Q3" i="1" s="1"/>
  <c r="O4" i="1"/>
  <c r="P4" i="1" s="1"/>
  <c r="Q4" i="1" s="1"/>
  <c r="O5" i="1"/>
  <c r="P5" i="1" s="1"/>
  <c r="Q5" i="1" s="1"/>
  <c r="O6" i="1"/>
  <c r="P6" i="1" s="1"/>
  <c r="Q6" i="1" s="1"/>
  <c r="O7" i="1"/>
  <c r="P7" i="1" s="1"/>
  <c r="Q7" i="1" s="1"/>
  <c r="O8" i="1"/>
  <c r="P8" i="1" s="1"/>
  <c r="Q8" i="1" s="1"/>
  <c r="O9" i="1"/>
  <c r="P9" i="1" s="1"/>
  <c r="Q9" i="1" s="1"/>
  <c r="O10" i="1"/>
  <c r="P10" i="1" s="1"/>
  <c r="Q10" i="1" s="1"/>
  <c r="O11" i="1"/>
  <c r="P11" i="1" s="1"/>
  <c r="Q11" i="1" s="1"/>
  <c r="O13" i="1"/>
  <c r="P13" i="1" s="1"/>
  <c r="Q13" i="1" s="1"/>
  <c r="O14" i="1"/>
  <c r="P14" i="1" s="1"/>
  <c r="Q14" i="1" s="1"/>
  <c r="O15" i="1"/>
  <c r="P15" i="1" s="1"/>
  <c r="Q15" i="1" s="1"/>
  <c r="O16" i="1"/>
  <c r="P16" i="1" s="1"/>
  <c r="Q16" i="1" s="1"/>
  <c r="O17" i="1"/>
  <c r="P17" i="1" s="1"/>
  <c r="Q17" i="1" s="1"/>
  <c r="O18" i="1"/>
  <c r="P18" i="1" s="1"/>
  <c r="Q18" i="1" s="1"/>
  <c r="O19" i="1"/>
  <c r="P19" i="1" s="1"/>
  <c r="Q19" i="1" s="1"/>
  <c r="O20" i="1"/>
  <c r="P20" i="1" s="1"/>
  <c r="Q20" i="1" s="1"/>
  <c r="O21" i="1"/>
  <c r="P21" i="1" s="1"/>
  <c r="Q21" i="1" s="1"/>
  <c r="O22" i="1"/>
  <c r="P22" i="1" s="1"/>
  <c r="Q22" i="1" s="1"/>
  <c r="O23" i="1"/>
  <c r="P23" i="1" s="1"/>
  <c r="Q23" i="1" s="1"/>
  <c r="O24" i="1"/>
  <c r="P24" i="1" s="1"/>
  <c r="Q24" i="1" s="1"/>
  <c r="O25" i="1"/>
  <c r="P25" i="1" s="1"/>
  <c r="Q25" i="1" s="1"/>
  <c r="O26" i="1"/>
  <c r="P26" i="1" s="1"/>
  <c r="Q26" i="1" s="1"/>
  <c r="O27" i="1"/>
  <c r="P27" i="1" s="1"/>
  <c r="Q27" i="1" s="1"/>
  <c r="O28" i="1"/>
  <c r="P28" i="1" s="1"/>
  <c r="Q28" i="1" s="1"/>
  <c r="O29" i="1"/>
  <c r="P29" i="1" s="1"/>
  <c r="Q29" i="1" s="1"/>
  <c r="O30" i="1"/>
  <c r="P30" i="1" s="1"/>
  <c r="Q30" i="1" s="1"/>
  <c r="O31" i="1"/>
  <c r="P31" i="1" s="1"/>
  <c r="Q31" i="1" s="1"/>
  <c r="O32" i="1"/>
  <c r="P32" i="1" s="1"/>
  <c r="Q32" i="1" s="1"/>
  <c r="O33" i="1"/>
  <c r="P33" i="1" s="1"/>
  <c r="Q33" i="1" s="1"/>
  <c r="O34" i="1"/>
  <c r="P34" i="1" s="1"/>
  <c r="Q34" i="1" s="1"/>
  <c r="O35" i="1"/>
  <c r="P35" i="1" s="1"/>
  <c r="Q35" i="1" s="1"/>
  <c r="O36" i="1"/>
  <c r="P36" i="1" s="1"/>
  <c r="Q36" i="1" s="1"/>
  <c r="O37" i="1"/>
  <c r="P37" i="1" s="1"/>
  <c r="Q37" i="1" s="1"/>
  <c r="O38" i="1"/>
  <c r="P38" i="1" s="1"/>
  <c r="Q38" i="1" s="1"/>
  <c r="O39" i="1"/>
  <c r="P39" i="1" s="1"/>
  <c r="Q39" i="1" s="1"/>
  <c r="O40" i="1"/>
  <c r="P40" i="1" s="1"/>
  <c r="Q40" i="1" s="1"/>
  <c r="O41" i="1"/>
  <c r="P41" i="1" s="1"/>
  <c r="Q41" i="1" s="1"/>
  <c r="O42" i="1"/>
  <c r="P42" i="1" s="1"/>
  <c r="Q42" i="1" s="1"/>
  <c r="O43" i="1"/>
  <c r="P43" i="1" s="1"/>
  <c r="Q43" i="1" s="1"/>
  <c r="O44" i="1"/>
  <c r="P44" i="1" s="1"/>
  <c r="Q44" i="1" s="1"/>
  <c r="O45" i="1"/>
  <c r="P45" i="1" s="1"/>
  <c r="Q45" i="1" s="1"/>
  <c r="O46" i="1"/>
  <c r="P46" i="1" s="1"/>
  <c r="Q46" i="1" s="1"/>
  <c r="O47" i="1"/>
  <c r="P47" i="1" s="1"/>
  <c r="Q47" i="1" s="1"/>
  <c r="O48" i="1"/>
  <c r="P48" i="1" s="1"/>
  <c r="Q48" i="1" s="1"/>
  <c r="O49" i="1"/>
  <c r="P49" i="1" s="1"/>
  <c r="Q49" i="1" s="1"/>
  <c r="O50" i="1"/>
  <c r="P50" i="1" s="1"/>
  <c r="Q50" i="1" s="1"/>
  <c r="O51" i="1"/>
  <c r="P51" i="1" s="1"/>
  <c r="Q51" i="1" s="1"/>
  <c r="O52" i="1"/>
  <c r="P52" i="1" s="1"/>
  <c r="Q52" i="1" s="1"/>
  <c r="O54" i="1"/>
  <c r="P54" i="1" s="1"/>
  <c r="Q54" i="1" s="1"/>
  <c r="O55" i="1"/>
  <c r="P55" i="1" s="1"/>
  <c r="Q55" i="1" s="1"/>
  <c r="O56" i="1"/>
  <c r="P56" i="1" s="1"/>
  <c r="Q56" i="1" s="1"/>
  <c r="O57" i="1"/>
  <c r="P57" i="1" s="1"/>
  <c r="Q57" i="1" s="1"/>
  <c r="O58" i="1"/>
  <c r="P58" i="1" s="1"/>
  <c r="Q58" i="1" s="1"/>
  <c r="O59" i="1"/>
  <c r="P59" i="1" s="1"/>
  <c r="Q59" i="1" s="1"/>
  <c r="O60" i="1"/>
  <c r="P60" i="1" s="1"/>
  <c r="Q60" i="1" s="1"/>
  <c r="O61" i="1"/>
  <c r="P61" i="1" s="1"/>
  <c r="Q61" i="1" s="1"/>
  <c r="O62" i="1"/>
  <c r="P62" i="1" s="1"/>
  <c r="Q62" i="1" s="1"/>
  <c r="O63" i="1"/>
  <c r="P63" i="1" s="1"/>
  <c r="Q63" i="1" s="1"/>
  <c r="O64" i="1"/>
  <c r="P64" i="1" s="1"/>
  <c r="Q64" i="1" s="1"/>
  <c r="O65" i="1"/>
  <c r="P65" i="1" s="1"/>
  <c r="Q65" i="1" s="1"/>
  <c r="O66" i="1"/>
  <c r="P66" i="1" s="1"/>
  <c r="Q66" i="1" s="1"/>
  <c r="O67" i="1"/>
  <c r="P67" i="1" s="1"/>
  <c r="Q67" i="1" s="1"/>
  <c r="O68" i="1"/>
  <c r="P68" i="1" s="1"/>
  <c r="Q68" i="1" s="1"/>
  <c r="O69" i="1"/>
  <c r="P69" i="1" s="1"/>
  <c r="Q69" i="1" s="1"/>
  <c r="O70" i="1"/>
  <c r="P70" i="1" s="1"/>
  <c r="Q70" i="1" s="1"/>
  <c r="O71" i="1"/>
  <c r="P71" i="1" s="1"/>
  <c r="Q71" i="1" s="1"/>
  <c r="O72" i="1"/>
  <c r="P72" i="1" s="1"/>
  <c r="Q72" i="1" s="1"/>
  <c r="O73" i="1"/>
  <c r="P73" i="1" s="1"/>
  <c r="Q73" i="1" s="1"/>
  <c r="O74" i="1"/>
  <c r="P74" i="1" s="1"/>
  <c r="Q74" i="1" s="1"/>
  <c r="O75" i="1"/>
  <c r="P75" i="1" s="1"/>
  <c r="Q75" i="1" s="1"/>
  <c r="O76" i="1"/>
  <c r="P76" i="1" s="1"/>
  <c r="Q76" i="1" s="1"/>
  <c r="O77" i="1"/>
  <c r="P77" i="1" s="1"/>
  <c r="Q77" i="1" s="1"/>
  <c r="O78" i="1"/>
  <c r="P78" i="1" s="1"/>
  <c r="Q78" i="1" s="1"/>
  <c r="O79" i="1"/>
  <c r="P79" i="1" s="1"/>
  <c r="Q79" i="1" s="1"/>
  <c r="O80" i="1"/>
  <c r="P80" i="1" s="1"/>
  <c r="Q80" i="1" s="1"/>
  <c r="O81" i="1"/>
  <c r="P81" i="1" s="1"/>
  <c r="Q81" i="1" s="1"/>
  <c r="O82" i="1"/>
  <c r="P82" i="1" s="1"/>
  <c r="Q82" i="1" s="1"/>
  <c r="O83" i="1"/>
  <c r="P83" i="1" s="1"/>
  <c r="Q83" i="1" s="1"/>
  <c r="O84" i="1"/>
  <c r="P84" i="1" s="1"/>
  <c r="Q84" i="1" s="1"/>
  <c r="O85" i="1"/>
  <c r="P85" i="1" s="1"/>
  <c r="Q85" i="1" s="1"/>
  <c r="O86" i="1"/>
  <c r="P86" i="1" s="1"/>
  <c r="Q86" i="1" s="1"/>
  <c r="O87" i="1"/>
  <c r="P87" i="1" s="1"/>
  <c r="Q87" i="1" s="1"/>
  <c r="O88" i="1"/>
  <c r="P88" i="1" s="1"/>
  <c r="Q88" i="1" s="1"/>
  <c r="O89" i="1"/>
  <c r="P89" i="1" s="1"/>
  <c r="Q89" i="1" s="1"/>
  <c r="O90" i="1"/>
  <c r="P90" i="1" s="1"/>
  <c r="Q90" i="1" s="1"/>
  <c r="O91" i="1"/>
  <c r="P91" i="1" s="1"/>
  <c r="Q91" i="1" s="1"/>
  <c r="O92" i="1"/>
  <c r="P92" i="1" s="1"/>
  <c r="Q92" i="1" s="1"/>
  <c r="O93" i="1"/>
  <c r="P93" i="1" s="1"/>
  <c r="Q93" i="1" s="1"/>
  <c r="O94" i="1"/>
  <c r="P94" i="1" s="1"/>
  <c r="Q94" i="1" s="1"/>
  <c r="O95" i="1"/>
  <c r="P95" i="1" s="1"/>
  <c r="Q95" i="1" s="1"/>
  <c r="O96" i="1"/>
  <c r="P96" i="1" s="1"/>
  <c r="Q96" i="1" s="1"/>
  <c r="O97" i="1"/>
  <c r="P97" i="1" s="1"/>
  <c r="Q97" i="1" s="1"/>
  <c r="O98" i="1"/>
  <c r="P98" i="1" s="1"/>
  <c r="Q98" i="1" s="1"/>
  <c r="O99" i="1"/>
  <c r="P99" i="1" s="1"/>
  <c r="Q99" i="1" s="1"/>
  <c r="O100" i="1"/>
  <c r="P100" i="1" s="1"/>
  <c r="Q100" i="1" s="1"/>
  <c r="O101" i="1"/>
  <c r="P101" i="1" s="1"/>
  <c r="Q101" i="1" s="1"/>
  <c r="O102" i="1"/>
  <c r="P102" i="1" s="1"/>
  <c r="Q102" i="1" s="1"/>
  <c r="O103" i="1"/>
  <c r="P103" i="1" s="1"/>
  <c r="Q103" i="1" s="1"/>
  <c r="O104" i="1"/>
  <c r="P104" i="1" s="1"/>
  <c r="Q104" i="1" s="1"/>
  <c r="O105" i="1"/>
  <c r="P105" i="1" s="1"/>
  <c r="Q105" i="1" s="1"/>
  <c r="O106" i="1"/>
  <c r="P106" i="1" s="1"/>
  <c r="Q106" i="1" s="1"/>
  <c r="O107" i="1"/>
  <c r="P107" i="1" s="1"/>
  <c r="Q107" i="1" s="1"/>
  <c r="O108" i="1"/>
  <c r="P108" i="1" s="1"/>
  <c r="Q108" i="1" s="1"/>
  <c r="O109" i="1"/>
  <c r="P109" i="1" s="1"/>
  <c r="Q109" i="1" s="1"/>
  <c r="O110" i="1"/>
  <c r="P110" i="1" s="1"/>
  <c r="Q110" i="1" s="1"/>
  <c r="O111" i="1"/>
  <c r="P111" i="1" s="1"/>
  <c r="Q111" i="1" s="1"/>
  <c r="O112" i="1"/>
  <c r="P112" i="1" s="1"/>
  <c r="Q112" i="1" s="1"/>
  <c r="O113" i="1"/>
  <c r="P113" i="1" s="1"/>
  <c r="Q113" i="1" s="1"/>
  <c r="O114" i="1"/>
  <c r="P114" i="1" s="1"/>
  <c r="Q114" i="1" s="1"/>
  <c r="O115" i="1"/>
  <c r="P115" i="1" s="1"/>
  <c r="Q115" i="1" s="1"/>
  <c r="O116" i="1"/>
  <c r="P116" i="1" s="1"/>
  <c r="Q116" i="1" s="1"/>
  <c r="O117" i="1"/>
  <c r="P117" i="1" s="1"/>
  <c r="Q117" i="1" s="1"/>
  <c r="O118" i="1"/>
  <c r="P118" i="1" s="1"/>
  <c r="Q118" i="1" s="1"/>
  <c r="O119" i="1"/>
  <c r="P119" i="1" s="1"/>
  <c r="Q119" i="1" s="1"/>
  <c r="O120" i="1"/>
  <c r="P120" i="1" s="1"/>
  <c r="Q120" i="1" s="1"/>
  <c r="O121" i="1"/>
  <c r="P121" i="1" s="1"/>
  <c r="Q121" i="1" s="1"/>
  <c r="O122" i="1"/>
  <c r="P122" i="1" s="1"/>
  <c r="Q122" i="1" s="1"/>
  <c r="O123" i="1"/>
  <c r="P123" i="1" s="1"/>
  <c r="Q123" i="1" s="1"/>
  <c r="O124" i="1"/>
  <c r="P124" i="1" s="1"/>
  <c r="Q124" i="1" s="1"/>
  <c r="O125" i="1"/>
  <c r="P125" i="1" s="1"/>
  <c r="Q125" i="1" s="1"/>
  <c r="O126" i="1"/>
  <c r="P126" i="1" s="1"/>
  <c r="Q126" i="1" s="1"/>
  <c r="O128" i="1"/>
  <c r="P128" i="1" s="1"/>
  <c r="Q128" i="1" s="1"/>
  <c r="O129" i="1"/>
  <c r="P129" i="1" s="1"/>
  <c r="Q129" i="1" s="1"/>
  <c r="O131" i="1"/>
  <c r="P131" i="1" s="1"/>
  <c r="Q131" i="1" s="1"/>
  <c r="O132" i="1"/>
  <c r="P132" i="1" s="1"/>
  <c r="Q132" i="1" s="1"/>
  <c r="O133" i="1"/>
  <c r="P133" i="1" s="1"/>
  <c r="Q133" i="1" s="1"/>
  <c r="O134" i="1"/>
  <c r="P134" i="1" s="1"/>
  <c r="Q134" i="1" s="1"/>
  <c r="O135" i="1"/>
  <c r="P135" i="1" s="1"/>
  <c r="Q135" i="1" s="1"/>
  <c r="O136" i="1"/>
  <c r="P136" i="1" s="1"/>
  <c r="Q136" i="1" s="1"/>
  <c r="O137" i="1"/>
  <c r="P137" i="1" s="1"/>
  <c r="Q137" i="1" s="1"/>
  <c r="O138" i="1"/>
  <c r="P138" i="1" s="1"/>
  <c r="Q138" i="1" s="1"/>
  <c r="O139" i="1"/>
  <c r="P139" i="1" s="1"/>
  <c r="Q139" i="1" s="1"/>
  <c r="O140" i="1"/>
  <c r="P140" i="1" s="1"/>
  <c r="Q140" i="1" s="1"/>
  <c r="O2" i="1"/>
  <c r="P2" i="1" s="1"/>
  <c r="Q2" i="1" s="1"/>
  <c r="K10" i="1"/>
  <c r="K3" i="1"/>
  <c r="K73" i="1"/>
  <c r="K4" i="1"/>
  <c r="K5" i="1"/>
  <c r="K6" i="1"/>
  <c r="K7" i="1"/>
  <c r="K8" i="1"/>
  <c r="K9"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B4" i="12" l="1"/>
</calcChain>
</file>

<file path=xl/sharedStrings.xml><?xml version="1.0" encoding="utf-8"?>
<sst xmlns="http://schemas.openxmlformats.org/spreadsheetml/2006/main" count="1668" uniqueCount="521">
  <si>
    <t>Part ID</t>
  </si>
  <si>
    <t>Part Name</t>
  </si>
  <si>
    <t>Subsystem</t>
  </si>
  <si>
    <t>Drawer Location</t>
  </si>
  <si>
    <t>Quantity</t>
  </si>
  <si>
    <t>Supplier</t>
  </si>
  <si>
    <t>Last Updated</t>
  </si>
  <si>
    <t>4130 Chromoly Steel Tubing (1” OD)</t>
  </si>
  <si>
    <t>4130 Chromoly Steel Tubing (0.75” OD)</t>
  </si>
  <si>
    <t>Steel Mounting Tabs</t>
  </si>
  <si>
    <t>Roll Cage Gussets</t>
  </si>
  <si>
    <t>Skid Plate (Aluminum)</t>
  </si>
  <si>
    <t>Engine Mount Plate</t>
  </si>
  <si>
    <t>Transmission Mount Plate</t>
  </si>
  <si>
    <t>Welded Frame Assembly</t>
  </si>
  <si>
    <t>Side Impact Panel</t>
  </si>
  <si>
    <t>Firewall Aluminum Sheet</t>
  </si>
  <si>
    <t>Rivets (1/8” Aluminum)</t>
  </si>
  <si>
    <t>Frame Jig Blocks</t>
  </si>
  <si>
    <t>Seat Mount Brackets</t>
  </si>
  <si>
    <t>Battery Mount Tray</t>
  </si>
  <si>
    <t>Tube End Caps</t>
  </si>
  <si>
    <t>Front A-Arms (Upper)</t>
  </si>
  <si>
    <t>Front A-Arms (Lower)</t>
  </si>
  <si>
    <t>Rear Trailing Arms</t>
  </si>
  <si>
    <t>Heim Joints (Rod Ends)</t>
  </si>
  <si>
    <t>Ball Joints</t>
  </si>
  <si>
    <t>Suspension Bushings</t>
  </si>
  <si>
    <t>Coilover Shocks (Front)</t>
  </si>
  <si>
    <t>Coilover Shocks (Rear)</t>
  </si>
  <si>
    <t>Shock Springs</t>
  </si>
  <si>
    <t>Shock Mount Tabs</t>
  </si>
  <si>
    <t>Spindles</t>
  </si>
  <si>
    <t>Wheel Hubs</t>
  </si>
  <si>
    <t>Wheel Bearings</t>
  </si>
  <si>
    <t>Snap Rings</t>
  </si>
  <si>
    <t>Retaining Clips</t>
  </si>
  <si>
    <t>Suspension Bolts (Grade 8)</t>
  </si>
  <si>
    <t>Suspension Spacers</t>
  </si>
  <si>
    <t>Camber Adjustment Plates</t>
  </si>
  <si>
    <t>Toe Link Assembly</t>
  </si>
  <si>
    <t>Anti-Sway Bar</t>
  </si>
  <si>
    <t>Brake Rotors</t>
  </si>
  <si>
    <t>Brake Calipers</t>
  </si>
  <si>
    <t>Brake Pads</t>
  </si>
  <si>
    <t>Brake Master Cylinder</t>
  </si>
  <si>
    <t>Brake Pedal Assembly</t>
  </si>
  <si>
    <t>Brake Bias Adjuster</t>
  </si>
  <si>
    <t>Brake Lines (Steel Braided)</t>
  </si>
  <si>
    <t>Brake Line Fittings</t>
  </si>
  <si>
    <t>Brake Fluid (DOT 4)</t>
  </si>
  <si>
    <t>Reservoir Tank</t>
  </si>
  <si>
    <t>Brake Light Switch</t>
  </si>
  <si>
    <t>Clevis Pins</t>
  </si>
  <si>
    <t>Banjo Bolts</t>
  </si>
  <si>
    <t>Copper Crush Washers</t>
  </si>
  <si>
    <t>Brake Mount Brackets</t>
  </si>
  <si>
    <t>Steering Rack</t>
  </si>
  <si>
    <t>Steering Wheel</t>
  </si>
  <si>
    <t>Quick Release Hub</t>
  </si>
  <si>
    <t>Steering Column Shaft</t>
  </si>
  <si>
    <t>Steering U-Joints</t>
  </si>
  <si>
    <t>Tie Rods</t>
  </si>
  <si>
    <t>Tie Rod Ends</t>
  </si>
  <si>
    <t>Rack Mount Clamps</t>
  </si>
  <si>
    <t>Steering Stops</t>
  </si>
  <si>
    <t>Column Bearings</t>
  </si>
  <si>
    <t>Steering Shaft Support</t>
  </si>
  <si>
    <t>Steering Coupler</t>
  </si>
  <si>
    <t>Set Screws</t>
  </si>
  <si>
    <t>Lock Nuts</t>
  </si>
  <si>
    <t>Steering Wheel Spacer</t>
  </si>
  <si>
    <t>Briggs &amp; Stratton Engine</t>
  </si>
  <si>
    <t>CVT Primary Clutch</t>
  </si>
  <si>
    <t>CVT Secondary Clutch</t>
  </si>
  <si>
    <t>Drive Belt</t>
  </si>
  <si>
    <t>Gearbox Housing</t>
  </si>
  <si>
    <t>Differential</t>
  </si>
  <si>
    <t>Axles</t>
  </si>
  <si>
    <t>CV Joints</t>
  </si>
  <si>
    <t>Sprockets</t>
  </si>
  <si>
    <t>Drive Chain</t>
  </si>
  <si>
    <t>Chain Tensioner</t>
  </si>
  <si>
    <t>Engine Kill Switch</t>
  </si>
  <si>
    <t>Fuel Tank</t>
  </si>
  <si>
    <t>Fuel Lines</t>
  </si>
  <si>
    <t>Fuel Filter</t>
  </si>
  <si>
    <t>Throttle Cable</t>
  </si>
  <si>
    <t>Exhaust Header</t>
  </si>
  <si>
    <t>Muffler</t>
  </si>
  <si>
    <t>Radiator (if custom)</t>
  </si>
  <si>
    <t>Cooling Fan</t>
  </si>
  <si>
    <t>Arduino Board</t>
  </si>
  <si>
    <t>Raspberry Pi</t>
  </si>
  <si>
    <t>Data Logger Module</t>
  </si>
  <si>
    <t>GPS Module</t>
  </si>
  <si>
    <t>Accelerometer Sensor</t>
  </si>
  <si>
    <t>Wheel Speed Sensor</t>
  </si>
  <si>
    <t>Temperature Sensor</t>
  </si>
  <si>
    <t>Pressure Sensor</t>
  </si>
  <si>
    <t>Wiring Harness</t>
  </si>
  <si>
    <t>Heat Shrink Tubing</t>
  </si>
  <si>
    <t>Crimp Connectors</t>
  </si>
  <si>
    <t>Fuse Block</t>
  </si>
  <si>
    <t>Battery Pack</t>
  </si>
  <si>
    <t>Voltage Regulator</t>
  </si>
  <si>
    <t>SD Card Storage Module</t>
  </si>
  <si>
    <t>Aluminum Stock (6061)</t>
  </si>
  <si>
    <t>Steel Stock Bars</t>
  </si>
  <si>
    <t>Lathe Cutting Tool Inserts</t>
  </si>
  <si>
    <t>End Mills (Carbide)</t>
  </si>
  <si>
    <t>Drill Bits (Cobalt)</t>
  </si>
  <si>
    <t>Tapping Set</t>
  </si>
  <si>
    <t>Reamer Set</t>
  </si>
  <si>
    <t>Coolant Fluid</t>
  </si>
  <si>
    <t>Measuring Calipers</t>
  </si>
  <si>
    <t>Micrometer</t>
  </si>
  <si>
    <t>Grade 8 Bolts (various sizes)</t>
  </si>
  <si>
    <t>Nylon Lock Nuts</t>
  </si>
  <si>
    <t>Washers</t>
  </si>
  <si>
    <t>Cotter Pins</t>
  </si>
  <si>
    <t>Threadlocker</t>
  </si>
  <si>
    <t>Zip Ties</t>
  </si>
  <si>
    <t>Electrical Tape</t>
  </si>
  <si>
    <t>Hose Clamps</t>
  </si>
  <si>
    <t>Rivnut Inserts</t>
  </si>
  <si>
    <t>Mounting Brackets</t>
  </si>
  <si>
    <t>Grommets</t>
  </si>
  <si>
    <t>Cable Clamps</t>
  </si>
  <si>
    <t>Silicone Sealant</t>
  </si>
  <si>
    <t>Anti-Seize Compound</t>
  </si>
  <si>
    <t>Loctite 242</t>
  </si>
  <si>
    <t>JB Weld</t>
  </si>
  <si>
    <t>Sandpaper Packs</t>
  </si>
  <si>
    <t>Grinding Discs</t>
  </si>
  <si>
    <t>Cutting Wheels</t>
  </si>
  <si>
    <t>Shop Towels</t>
  </si>
  <si>
    <t>Chassis</t>
  </si>
  <si>
    <t>Suspension</t>
  </si>
  <si>
    <t>Brakes</t>
  </si>
  <si>
    <t>Steering</t>
  </si>
  <si>
    <t>Drivetrain</t>
  </si>
  <si>
    <t>Racing Seat</t>
  </si>
  <si>
    <t>5-Point Harness</t>
  </si>
  <si>
    <t>Padding Foam</t>
  </si>
  <si>
    <t>Dashboard Panel</t>
  </si>
  <si>
    <t>Digital Display</t>
  </si>
  <si>
    <t>Fire Extinguisher</t>
  </si>
  <si>
    <t>Seat Slider</t>
  </si>
  <si>
    <t>Driver Net</t>
  </si>
  <si>
    <t>Helmet Support Strap</t>
  </si>
  <si>
    <t>Ergonomics</t>
  </si>
  <si>
    <t>DAQ</t>
  </si>
  <si>
    <t>Manufacturing</t>
  </si>
  <si>
    <t>Extra Hardware</t>
  </si>
  <si>
    <t>Main Shop – Metal Components</t>
  </si>
  <si>
    <t>Parts Trailer</t>
  </si>
  <si>
    <t>Main Shop – Screws &amp; Drills</t>
  </si>
  <si>
    <t>UCF Machinery Workshop</t>
  </si>
  <si>
    <t>Main Shop – Chemicals</t>
  </si>
  <si>
    <t>Main Shop – Electronic Drawer</t>
  </si>
  <si>
    <t>Main Shop – General Storage</t>
  </si>
  <si>
    <t>OnlineMetals</t>
  </si>
  <si>
    <t>McMaster-Carr</t>
  </si>
  <si>
    <t>Summit Racing</t>
  </si>
  <si>
    <t>Amazon</t>
  </si>
  <si>
    <t>Unit Cost (USD)</t>
  </si>
  <si>
    <t>Total Cost (USD)</t>
  </si>
  <si>
    <t>Reorder Point</t>
  </si>
  <si>
    <t>Reorder point calculations</t>
  </si>
  <si>
    <t>JJE</t>
  </si>
  <si>
    <t>yes</t>
  </si>
  <si>
    <t>Rust-Oleum Quick Color J285380 Fast Drying All Purpose Spray Enamel Flat Black</t>
  </si>
  <si>
    <t>3M Hi-Strength 90 Contact Adhesive</t>
  </si>
  <si>
    <t>Elmers Multi-Purpose Spray Adhesive</t>
  </si>
  <si>
    <t>Krylon Fusion Metallic Finish 2768 All in One Paint + Primer Metallic Copper</t>
  </si>
  <si>
    <t>Krylon Fusion 5x Stronger Adhesion 2717 All in One Paint + Primer Gloss Soft Pink</t>
  </si>
  <si>
    <t>Rust-Oleum Stops Rust 7778502 High Heat Tough Protective Enamel BBQ Black</t>
  </si>
  <si>
    <t>Rust-Oleum Never Wet Multi-Surface Liquid Repelling Barrier</t>
  </si>
  <si>
    <t>Rust-Oleum Chalked 302591 Ultra Matte Paint Linen White</t>
  </si>
  <si>
    <t>Rust-Oleum Fluorescent 342568 Bright Neon Color Orange</t>
  </si>
  <si>
    <t>Rust-Oleum Stops Rust 7769830 Rusty Metal Primer</t>
  </si>
  <si>
    <t>Rust-Oleum Stops Rust 214084 Gloss Protective Enamel Orange</t>
  </si>
  <si>
    <t>Rust-Oleum Stops Rust 7776830 Flat Protective Enamel Black</t>
  </si>
  <si>
    <t>Rust-Oleum Stops Rust 312819 Satin Protective Enamel Coastal Grey</t>
  </si>
  <si>
    <t>Rust-Oleum Automotive Primer 249279 Filler Primer Gray</t>
  </si>
  <si>
    <t>Rust-Oleum Bright Coat 7710830 Bright Coat Gold Metallic Finish</t>
  </si>
  <si>
    <t>Rust-Oleum Bright Coat 314417 Bright Coat Copper Metallic Finish</t>
  </si>
  <si>
    <t>Rust-Oleum Professional 7585838 FL Cold Galvinizing Compound</t>
  </si>
  <si>
    <t>Rust-Oleum Professional 7578838 Flat Black High Performance Enamel</t>
  </si>
  <si>
    <t>Krylon Shortcuts SCS-110 Satin Paint White Chiffon</t>
  </si>
  <si>
    <t>RR</t>
  </si>
  <si>
    <t>Rust-Oleum Painter's Touch 334045 Ultracover Paint + Primer Gloss Spa Blue</t>
  </si>
  <si>
    <t>Rust-Oleum Painter's Touch 334087 Ultracover Paint + Primer Satin Magenta</t>
  </si>
  <si>
    <t>Rust-Oleum Painter's Touch 334028 Ultracover Paint + Primer Gloss Candy Pink</t>
  </si>
  <si>
    <t>Rust-Oleum Painter's Touch 334032 UltraCover Paint + Primer Gloss Deep Blue</t>
  </si>
  <si>
    <t>Rust-Oleum Painter's Touch 334031 UltraCover Paint + Primer Gloss Dark Grey</t>
  </si>
  <si>
    <t>Rust-Oleum American Accents 327870 Ultracover Paint + Primer Gloss Black</t>
  </si>
  <si>
    <t>Rust-Oleum American Accents 354730 Ultracover Paint + Primer Gloss Sweet Pea</t>
  </si>
  <si>
    <t>Rust-Oleum American Accents 327892 Ultracover Paint + Primer Gloss Brilliant Blue</t>
  </si>
  <si>
    <t>Rust-Oleum American Accents 327875 Ultracover Paint + Primer Gloss Apple Red</t>
  </si>
  <si>
    <t>Rust-Oleum American Accents 327920 Ultracover Paint + Primer Satin Heirloom White</t>
  </si>
  <si>
    <t>Rust-Oleum American Accents 355298 Ultracover Paint + Primer Satin Fossil</t>
  </si>
  <si>
    <t>Rust-Oleum Professional 7543 Safety Yellow High Performance Enamel</t>
  </si>
  <si>
    <t>Rust-Oleum Professional 7592 Gloss White High Performance Enamel</t>
  </si>
  <si>
    <t>Rust-Oleum American Accents Ultracover Paint + Primer Ultimate Ultra Matte Coastal Sage</t>
  </si>
  <si>
    <t>Wurth Expanding Foam Sealant Gaps &amp; Cracks</t>
  </si>
  <si>
    <t>Rust-Oleum Painter's Touch Ultracover Paint + Primer Premium High Gloss Black</t>
  </si>
  <si>
    <t>Atsko Silicone Water-Gaurd by Sno-Seal</t>
  </si>
  <si>
    <t>Great Stuff Insulating Foam Sealant Gaps and Cracks</t>
  </si>
  <si>
    <t>Ace Hardware 26438 Thread Cutting Oil</t>
  </si>
  <si>
    <t>Gunk Engine Degreaser Original</t>
  </si>
  <si>
    <t>Rexco Partall Coverall Film</t>
  </si>
  <si>
    <t>Duplicolor Vinyl &amp; Fabric Coating Black</t>
  </si>
  <si>
    <t>Kleen Out Sulfuric Acid Drain Opener</t>
  </si>
  <si>
    <t>Oatey Dark Thread Cutting Oil</t>
  </si>
  <si>
    <t>Lucas Heavy Duty Oil Stabilizer</t>
  </si>
  <si>
    <t>FibreGlast Black Tooling Gel Coat</t>
  </si>
  <si>
    <t>Walter E-Weld 4</t>
  </si>
  <si>
    <t>Klean Strip Lacquer Thinner</t>
  </si>
  <si>
    <t>Citristrip Paint &amp; Varnish Stripping Gel</t>
  </si>
  <si>
    <t>Klean Strip Acetone</t>
  </si>
  <si>
    <t>Bondo Glass Reinforced Filler</t>
  </si>
  <si>
    <t>Apple Barrel Acrylic Craft Paint (Black Matte)</t>
  </si>
  <si>
    <t>Walter E-Weld Nozzle</t>
  </si>
  <si>
    <t>EA700 Epoxy Tooling Board Adhesive Resin</t>
  </si>
  <si>
    <t>Walter Slap Shot Degreaser</t>
  </si>
  <si>
    <t>Molykote P-37 Antiseize Paste</t>
  </si>
  <si>
    <t>E6000 Normal</t>
  </si>
  <si>
    <t>Star Fire Full Synthetic 75W-140 Gear Lubricant</t>
  </si>
  <si>
    <t>Permatex Dialectric Tune Up Grease</t>
  </si>
  <si>
    <t>Rexco Partall Paste #2</t>
  </si>
  <si>
    <t>Evercoat Body Shop Glazing Putty</t>
  </si>
  <si>
    <t>Permatex Threadlocker Green</t>
  </si>
  <si>
    <t>Klean Strip Paint Thinner</t>
  </si>
  <si>
    <t>Loctite Super Glue Professional Liquid</t>
  </si>
  <si>
    <t>Behr Paint+Primer (Flirt Alert Gloss)</t>
  </si>
  <si>
    <t>Loctite 271 Red</t>
  </si>
  <si>
    <t>Can't find</t>
  </si>
  <si>
    <t>Super Tech Dot 4 Brake Fluid</t>
  </si>
  <si>
    <t>Permatex Ultra Grey</t>
  </si>
  <si>
    <t>Behr Paint+Primer (White Matte)</t>
  </si>
  <si>
    <t>Permatex Threadlocker Blue Medium</t>
  </si>
  <si>
    <t>Lucas Assembly Lube</t>
  </si>
  <si>
    <t>N/A</t>
  </si>
  <si>
    <t>Funnel Plastic</t>
  </si>
  <si>
    <t>Atsko Silicone Water-Guard</t>
  </si>
  <si>
    <t>Chicago Electric Blowtorch</t>
  </si>
  <si>
    <t>Ace Rust Stop (Aluminum Gloss)</t>
  </si>
  <si>
    <t>Bernzomatic Blue Propane</t>
  </si>
  <si>
    <t>Permatex Thread Sealant</t>
  </si>
  <si>
    <t>Cutter Skinsations Insect Repellant</t>
  </si>
  <si>
    <t>Composite Envisions MEKP-925 Hardener Catalyst</t>
  </si>
  <si>
    <t>Motul Fork Oil SAE 20W</t>
  </si>
  <si>
    <t>Rust-oleum Ultracover Paint+Primer (Canyon Black Satin)</t>
  </si>
  <si>
    <t>Oatey Regular Clear PVC Cement</t>
  </si>
  <si>
    <t>Permatex Threadlocker Red</t>
  </si>
  <si>
    <t>Loctite Squeeze Side Super Glue</t>
  </si>
  <si>
    <t>WD-40 Bike Wet Chain Lube</t>
  </si>
  <si>
    <t>Birchwood PermaBlue</t>
  </si>
  <si>
    <t>Dow Great Stuff Big Gap Filler</t>
  </si>
  <si>
    <t>Samorillo Ethanol Testing Bottle</t>
  </si>
  <si>
    <t>Noxon 7 Metal Polish</t>
  </si>
  <si>
    <t>WD40 Precision Pen</t>
  </si>
  <si>
    <t>Rust-oleum Ultracover Paint+Primer (Navy Blue Gloss)</t>
  </si>
  <si>
    <t>Sta Lube General Purpose Grease</t>
  </si>
  <si>
    <t>Cream Hardener</t>
  </si>
  <si>
    <t>3M Super 77 Multipurpose Adhesive</t>
  </si>
  <si>
    <t>White Diamond Metal Polish</t>
  </si>
  <si>
    <t>Members Mark Food Service 6hr Safe Heat Chafing Fuel</t>
  </si>
  <si>
    <t>Meguiar's Ultimate Compound</t>
  </si>
  <si>
    <t>Prestone Power Steering Fluid</t>
  </si>
  <si>
    <t>LA's Totally Awesome Cleaner With Bleach</t>
  </si>
  <si>
    <t>Prestone Full Synthetic Asian PS Fluid</t>
  </si>
  <si>
    <t>Rust-oleum Acetone</t>
  </si>
  <si>
    <t>3M 2091/07000 Particulate Fiter P100</t>
  </si>
  <si>
    <t>WD40</t>
  </si>
  <si>
    <t>Gorilla Wood Glue</t>
  </si>
  <si>
    <t>3M 60923 Organic Vapor/Acid Gas Cartridge/P100 Filter</t>
  </si>
  <si>
    <t>Brasso 7 Metal Polish</t>
  </si>
  <si>
    <t>Caswell Gas Tank Sealer Part A</t>
  </si>
  <si>
    <t>The Epoxy Resin Store Premium Clear Epoxy Resin Part B</t>
  </si>
  <si>
    <t>Carquest Wearever Brake Parts Cleaner Non-Flammable</t>
  </si>
  <si>
    <t>Lucienne Butane</t>
  </si>
  <si>
    <t>The Epoxy Resin Store Premium Clear Epoxy Resin Part A</t>
  </si>
  <si>
    <t>Maxim Racing Oils Chain Guard Crystal Clear Chain Lube</t>
  </si>
  <si>
    <t>Sterno Butane Fuel Cartridge</t>
  </si>
  <si>
    <t>Beast Bond Epoxy Resin Part A</t>
  </si>
  <si>
    <t>Prestone Brake Fluid Dot 3 Synthetic</t>
  </si>
  <si>
    <t>Duratec Grey Surface Primer SDS</t>
  </si>
  <si>
    <t>Beast Bond Hardener Part B</t>
  </si>
  <si>
    <t>RainX Glass Water Repellent</t>
  </si>
  <si>
    <t>upol High Gloss Acrylic Lacquer (Clear)</t>
  </si>
  <si>
    <t>US Composites 635 Thin Epoxy Resin</t>
  </si>
  <si>
    <t>Brakleen Brake Parts Cleaner Green Can</t>
  </si>
  <si>
    <t>Lucas Chain Lube</t>
  </si>
  <si>
    <t>Titebond II Premium Wood Glue</t>
  </si>
  <si>
    <t>Roebic Crystal Drain Opener</t>
  </si>
  <si>
    <t>Rust-oleum Ultracover Paint+Primer (Dark Gray Gloss)</t>
  </si>
  <si>
    <t>Fiberglass Supply Depot Expanding Pour Foam Base Part A</t>
  </si>
  <si>
    <t>Racetrac RPMaximum Synthetic 5w-30</t>
  </si>
  <si>
    <t>Composite Envisions MEKP DDM-9 Hardener Catalyst</t>
  </si>
  <si>
    <t>Premium Resin Tech High Impact Epoxy Resin</t>
  </si>
  <si>
    <t>Super Tech All Mile Synthetic 10w-40</t>
  </si>
  <si>
    <t>Ironlak Lak Acrylic Spray Paint</t>
  </si>
  <si>
    <t>Bondo Original Filler</t>
  </si>
  <si>
    <t>Duratec 39UCE Reducer</t>
  </si>
  <si>
    <t>Renolit ST-80</t>
  </si>
  <si>
    <t>US Composites Epoxy Hardener</t>
  </si>
  <si>
    <t>O'Reilly's Synthetic Dot 3 Brake Fluid</t>
  </si>
  <si>
    <t>Loctite PL Max Premium</t>
  </si>
  <si>
    <t>Orange-Sol Multi-Use Solvent</t>
  </si>
  <si>
    <t>Super Tech 80w-90 Gear Lube</t>
  </si>
  <si>
    <t>Rust-oleum Gloss Protective Enamel (Navy Blue)</t>
  </si>
  <si>
    <t>PRO-SET LAM-135 Laminating Resin Part A</t>
  </si>
  <si>
    <t>Meguiars Hybrid Ceramic Wax</t>
  </si>
  <si>
    <t>Bernzomatic Propane Torch</t>
  </si>
  <si>
    <t>Speedokote Speedo-Line Clear Activator Medium</t>
  </si>
  <si>
    <t>TrueFuel 4Cycle TF3</t>
  </si>
  <si>
    <t>Zippo Butane</t>
  </si>
  <si>
    <t>Speedokote Speedo-Line Clear High Performance Acrylic Urethane Clearcoat</t>
  </si>
  <si>
    <t>Crown White Gas Camp Fuel</t>
  </si>
  <si>
    <t>VHT Flame Proof Header Paint (Black)</t>
  </si>
  <si>
    <t>GE Advanced Silicone</t>
  </si>
  <si>
    <t>Castrol GTX High Mileage 5w-30</t>
  </si>
  <si>
    <t>Rust-oleum Filler Primer (Gray)</t>
  </si>
  <si>
    <t>KN</t>
  </si>
  <si>
    <t>sharpie markers</t>
  </si>
  <si>
    <t>Dap Alex Plus</t>
  </si>
  <si>
    <t>Safety Kleen Eco Power 5w-30</t>
  </si>
  <si>
    <t>Rapid Cure E85 Test 2/14/25</t>
  </si>
  <si>
    <t>goo gone</t>
  </si>
  <si>
    <t>Loctite MR 5416 All Purpose Spray Adhesive</t>
  </si>
  <si>
    <t>Can't Find</t>
  </si>
  <si>
    <t>Super Tech Full Synthetic 20W-50 Twin Motorcycle Oil</t>
  </si>
  <si>
    <t>rust dissolver</t>
  </si>
  <si>
    <t>Wurth Expanding Foam Sealant</t>
  </si>
  <si>
    <t>Painters Tape</t>
  </si>
  <si>
    <t>Krylon Fusion Paint+Primer (Metallic Gold)</t>
  </si>
  <si>
    <t>STP Full Synthetic 0W-20 Motor Oil</t>
  </si>
  <si>
    <t>great value glass cleaner</t>
  </si>
  <si>
    <t>Fibreglast 13 PVA Release Film</t>
  </si>
  <si>
    <t>Duck Duct Tape</t>
  </si>
  <si>
    <t>Loctite FMS Frekote</t>
  </si>
  <si>
    <t>RPMaximum Synthetic Motor Oil 5W-30</t>
  </si>
  <si>
    <t>heavy duty degreaser</t>
  </si>
  <si>
    <t>West System 105 Epoxy Resin Part 1</t>
  </si>
  <si>
    <t>E85</t>
  </si>
  <si>
    <t>Gas Can (Plastic)</t>
  </si>
  <si>
    <t>Loctite 700-NC Frekote</t>
  </si>
  <si>
    <t>Eco Power 5W-20 Recycled Motor Oil</t>
  </si>
  <si>
    <t>Orange Sol</t>
  </si>
  <si>
    <t>PRO-SET LAM-226 Hardener</t>
  </si>
  <si>
    <t>Gasoline</t>
  </si>
  <si>
    <t>87 Octane Gasoline</t>
  </si>
  <si>
    <t>Composite Envisions Orange Tooling Polyester Gelcoat</t>
  </si>
  <si>
    <t>Found by</t>
  </si>
  <si>
    <t>SDS?</t>
  </si>
  <si>
    <t>Contents</t>
  </si>
  <si>
    <t>Shipping Container</t>
  </si>
  <si>
    <t>Shop Op Drawers</t>
  </si>
  <si>
    <t>Red Bull Fridge</t>
  </si>
  <si>
    <t>Composites Shed</t>
  </si>
  <si>
    <t>Fire Cabinent: Fuel</t>
  </si>
  <si>
    <t>Fire Cabinent: Baja Side</t>
  </si>
  <si>
    <t>Fire Cabinent: Formula Side</t>
  </si>
  <si>
    <t xml:space="preserve">SDS should be clearly named and uploaded to the Safety Data Sheet folder as PDFs </t>
  </si>
  <si>
    <t>Just put your initials under the found by column.</t>
  </si>
  <si>
    <t>Safety Stock</t>
  </si>
  <si>
    <t>Fox Racing Shox</t>
  </si>
  <si>
    <t>Wilwood</t>
  </si>
  <si>
    <t>Briggs &amp; Stratton</t>
  </si>
  <si>
    <t>Mishimoto</t>
  </si>
  <si>
    <t>SparkFun</t>
  </si>
  <si>
    <t>Blue Sea Systems</t>
  </si>
  <si>
    <t>Mitutoyo</t>
  </si>
  <si>
    <t>Loctite</t>
  </si>
  <si>
    <t>3M</t>
  </si>
  <si>
    <t>Permatex</t>
  </si>
  <si>
    <t>Wicks Aircraft Supply</t>
  </si>
  <si>
    <t>AA Manufacturing</t>
  </si>
  <si>
    <t>SendCutSend</t>
  </si>
  <si>
    <t>In-House Fabrication</t>
  </si>
  <si>
    <t>Polymershapes</t>
  </si>
  <si>
    <t>80/20 Inc.</t>
  </si>
  <si>
    <t>FK Rod Ends</t>
  </si>
  <si>
    <t>Moog</t>
  </si>
  <si>
    <t>Eibach</t>
  </si>
  <si>
    <t>Polaris (OEM)</t>
  </si>
  <si>
    <t>SKF</t>
  </si>
  <si>
    <t>Misumi</t>
  </si>
  <si>
    <t>Speedway Motors</t>
  </si>
  <si>
    <t>Tilton Engineering</t>
  </si>
  <si>
    <t>AutoZone</t>
  </si>
  <si>
    <t>Rack &amp; Pinion output (generic)</t>
  </si>
  <si>
    <t>MPI</t>
  </si>
  <si>
    <t>QA1</t>
  </si>
  <si>
    <t>Gaged Engineering</t>
  </si>
  <si>
    <t>In-House CNC</t>
  </si>
  <si>
    <t>Hilliard</t>
  </si>
  <si>
    <t>RCVS</t>
  </si>
  <si>
    <t>Porsche (930 style)</t>
  </si>
  <si>
    <t>Pyrotect</t>
  </si>
  <si>
    <t>Terry Cable</t>
  </si>
  <si>
    <t>SPAL</t>
  </si>
  <si>
    <t>Kirkey Racing</t>
  </si>
  <si>
    <t>Simpson</t>
  </si>
  <si>
    <t>BSCI Energy Impact</t>
  </si>
  <si>
    <t>Trail Tech</t>
  </si>
  <si>
    <t>Kidde</t>
  </si>
  <si>
    <t>Sparco</t>
  </si>
  <si>
    <t>Adafruit</t>
  </si>
  <si>
    <t>CanaKit</t>
  </si>
  <si>
    <t>DigiKey</t>
  </si>
  <si>
    <t>Shorai</t>
  </si>
  <si>
    <t>Sandvik</t>
  </si>
  <si>
    <t>MSC Industrial</t>
  </si>
  <si>
    <t>Uline</t>
  </si>
  <si>
    <t>J-B Weld</t>
  </si>
  <si>
    <t>Norton</t>
  </si>
  <si>
    <t>Scott</t>
  </si>
  <si>
    <t>Quantity Units</t>
  </si>
  <si>
    <t>ft</t>
  </si>
  <si>
    <t>ea</t>
  </si>
  <si>
    <t>sets</t>
  </si>
  <si>
    <t>bottles</t>
  </si>
  <si>
    <t>Sheet</t>
  </si>
  <si>
    <t>ee</t>
  </si>
  <si>
    <t>ii</t>
  </si>
  <si>
    <t>kit</t>
  </si>
  <si>
    <t>set</t>
  </si>
  <si>
    <t>gal</t>
  </si>
  <si>
    <t>tubes</t>
  </si>
  <si>
    <t>jar</t>
  </si>
  <si>
    <t>packs</t>
  </si>
  <si>
    <t>Blocks</t>
  </si>
  <si>
    <t>bars</t>
  </si>
  <si>
    <t xml:space="preserve">pack </t>
  </si>
  <si>
    <t>rolls</t>
  </si>
  <si>
    <t xml:space="preserve">  ea</t>
  </si>
  <si>
    <t xml:space="preserve">  rolls</t>
  </si>
  <si>
    <t>Lead Time (Days)</t>
  </si>
  <si>
    <t>Simulated days from order to arrival. Longer for custom/specialized parts (like custom axles or tuned shocks).</t>
  </si>
  <si>
    <t>Usage Rate</t>
  </si>
  <si>
    <t>Lead Time</t>
  </si>
  <si>
    <t>Stock Status</t>
  </si>
  <si>
    <t>Estimated consumption. 1 = Static part (installed once); higher numbers = Parts that wear out, break, or are consumed (bolts, fuel, ties).</t>
  </si>
  <si>
    <t xml:space="preserve">Criticality </t>
  </si>
  <si>
    <t>A: High Value with long lead time</t>
  </si>
  <si>
    <t>B: Medium value with medium lead time (CVT Belts, Axles</t>
  </si>
  <si>
    <t>C: Low value, high volume (zip ties, washers)</t>
  </si>
  <si>
    <t>Measure</t>
  </si>
  <si>
    <t xml:space="preserve">Explanation </t>
  </si>
  <si>
    <t>Order Quantity</t>
  </si>
  <si>
    <t>A simple "If" statement to highlight parts that need immediate attention (if quantity &lt;= reorder point).</t>
  </si>
  <si>
    <t>Criticality</t>
  </si>
  <si>
    <t>A</t>
  </si>
  <si>
    <t>C</t>
  </si>
  <si>
    <t>B</t>
  </si>
  <si>
    <t>(All)</t>
  </si>
  <si>
    <t>Column Labels</t>
  </si>
  <si>
    <t>Grand Total</t>
  </si>
  <si>
    <t>Row Labels</t>
  </si>
  <si>
    <t>Sum of Total Cost (USD)</t>
  </si>
  <si>
    <t>Sum of Quantity</t>
  </si>
  <si>
    <t>OK</t>
  </si>
  <si>
    <t>REORDER</t>
  </si>
  <si>
    <t>Sum of Safety Stock</t>
  </si>
  <si>
    <t>Average of Lead Time (Days)</t>
  </si>
  <si>
    <t>Count of Part ID</t>
  </si>
  <si>
    <t>Inventory Health Table</t>
  </si>
  <si>
    <t>Spending by Part Criticality</t>
  </si>
  <si>
    <t>Stock Status Count</t>
  </si>
  <si>
    <t>Critical Items Needing Reorder</t>
  </si>
  <si>
    <t>Total Count of Part ID</t>
  </si>
  <si>
    <t>Total Sum of Total Cost (USD)</t>
  </si>
  <si>
    <t>(Multiple Items)</t>
  </si>
  <si>
    <t>How much to buy  if reordering,  Usage Rate + Safety Stock - Current Quantity</t>
  </si>
  <si>
    <t>Supplier Logistical Data</t>
  </si>
  <si>
    <t xml:space="preserve">Lead Time </t>
  </si>
  <si>
    <t>Lead Time Risk Assessment</t>
  </si>
  <si>
    <t>Sum of Buffer Health</t>
  </si>
  <si>
    <t>Safety Stock Violation Report</t>
  </si>
  <si>
    <t>Cost to Restock</t>
  </si>
  <si>
    <t xml:space="preserve">This Readme worksheet contains tables that help explain the concepts and methods used in this BAJA SAE Inventory/Supply Chain Dashboard. </t>
  </si>
  <si>
    <t>Use the Slicers below to filter and control what you see in the master inventory document</t>
  </si>
  <si>
    <t>(Daily Usage) × Lead Time) + Safety Stock, This is a level set to trigger replenishment, should inventory count fall below this level.</t>
  </si>
  <si>
    <t xml:space="preserve">Low (0-1) for expensive/one-time items like Engines; high for hardware or critical failure points like CVT Belts. Measures the minimum on hand inventory to keep </t>
  </si>
  <si>
    <t>Explanation</t>
  </si>
  <si>
    <t xml:space="preserve"> Subsystem Logistics</t>
  </si>
  <si>
    <t>Subsystem Logistics Table</t>
  </si>
  <si>
    <t>SCM Purpose: Geographic Distribution &amp; Asset Allocation.
What it does: Provides a high-level overview of how financial value and physical parts are distributed across your storage network (Shop, Trailer, etc.).
Use Case: Allows team leads to verify if the physical storage strategy matches the team’s needs. If "Drivetrain" has $10k of inventory in a "General Storage" drawer instead of the "Parts Trailer," it flags a logistics inefficiency.</t>
  </si>
  <si>
    <t>SCM Purpose: Operational Readiness &amp; Stock-Out Monitoring.
What it does: Monitors the "fill rate" of your inventory by location. It quantifies your "Risk Profile" by comparing available stock to the Reorder Point (ROP).
Use Case: This is a "Heat Map" for the shop manager. A high count of "Reorder" status in a specific location indicates an immediate need for a procurement cycle to avoid halting the build.</t>
  </si>
  <si>
    <t>SCM Purpose: Service Level Analysis &amp; Critical Buffer Tracking.
What it does: Identifies items where the "On-Hand Balance" has dropped below the "Safety Stock" threshold. In SCM, this is known as a Stock-Out Event or a Buffer Penetration.
Use Case: High-priority alert. Any item appearing here with a negative Buffer Health value means the team is currently using "Emergency Spares," and the probability of a total project stoppage is at its highest.</t>
  </si>
  <si>
    <t xml:space="preserve">Pivot Table </t>
  </si>
  <si>
    <t>SCM Purpose: Financial Exposure &amp; Procurement Budgeting.
What it does: Calculates the Total Replenishment Value. It looks at the gap between current stock and target levels to project the cash flow required for the next purchase order.
Use Case: Essential for the Club Treasurer or Faculty Advisor. It answers the question: "How much money do we need right now to get the car back to a 100% ready state?"</t>
  </si>
  <si>
    <t>SCM Purpose: ABC Analysis &amp; Value Concentration.
What it does: Segregates total project spend into A, B, and C categories based on the Pareto Principle.
Use Case: Financial auditing. It ensures that the majority of the team's funds (approx. 70-80%) are being allocated to "Class A" (High Criticality) items, preventing "Budget Creep" on low-value consumables.</t>
  </si>
  <si>
    <t>SCM Purpose: Exception Management &amp; Expediting.
What it does: A filtered view that isolates only the most dangerous shortages. It focuses strictly on items with a high Criticality and a Reorder status.
Use Case: The "Daily To-Do List" for the Purchasing Lead. Since these items often have the longest Lead Times, this table ensures that the highest-risk parts are ordered first to minimize downtime.</t>
  </si>
  <si>
    <t>Critical items Needing Reorder</t>
  </si>
  <si>
    <t>Pivot Table</t>
  </si>
  <si>
    <t>SCM Purpose: Vendor Performance &amp; Portfolio Analysis.
What it does: Consolidates all key metrics into a single view of your supply base. It ranks your suppliers not just by how much you spend with them, but by the physical volume of parts and the time-risk they introduce.
Use Case: By filtering for "Criticality " , you can see which specific suppliers are holding the most power over your project’s success. If one supplier has a very high Avg Lead Time and high Sum of Total Cost, they are a "High-Value/High-Risk" partner that requires closer relationship management.</t>
  </si>
  <si>
    <t>SCM Purpose: Supply Chain Resilience &amp; Critical Path Analysis.
What it does: Cross-references the urgency of a reorder with the delay of delivery. It identifies "Bottlenecks"—parts that are already in a Reorder state but have a long Lead Time.
Use Case: This is a Proactive Risk Management tool. If this table shows a high count of "Criticality A" parts with a "14+ day" Lead Time, you have a major project delay incoming. In a professional setting, this view tells you when you need to switch to Expedited Shipping or seek an Alternative Supplier to keep the production line (or the Baja car build) moving.</t>
  </si>
  <si>
    <t>Main Inventory Worksheet Concepts</t>
  </si>
  <si>
    <t>Parts Logistics Worksheet Concepts</t>
  </si>
  <si>
    <t>Supplier Data Worksheet Concepts</t>
  </si>
  <si>
    <t>SDS</t>
  </si>
  <si>
    <t>SCM &amp; Safety Purpose: Risk Communication &amp; Emergency Preparedness.
Definition: An SDS (Safety Data Sheet) is a standardized document that provides detailed information about a chemical’s properties, health hazards, physical hazards, and environmental impacts.
Compliance Meaning: * "Yes": Indicates the team has a physical or digital copy of the sheet readily available for first responders and team members.
"Can't Find": Flags a Compliance Gap. In a professional supply chain, this item should be "Quarantined" or restricted from use until the documentation is sourced from the supplier, as operating without an SDS is a violation of OSHA (or university) safety standards.</t>
  </si>
  <si>
    <t>Chemical Inventory Worksheet Concepts</t>
  </si>
  <si>
    <t>Enter Part ID:</t>
  </si>
  <si>
    <t>Location</t>
  </si>
  <si>
    <t>Status</t>
  </si>
  <si>
    <t>Quick Part Lookup Tool</t>
  </si>
  <si>
    <t>Line Total</t>
  </si>
  <si>
    <t>Enter Order Quantity</t>
  </si>
  <si>
    <t>Unit Cost</t>
  </si>
  <si>
    <t>Part ID Selection</t>
  </si>
  <si>
    <t>Search Dashboard Concepts</t>
  </si>
  <si>
    <t>Dashboard</t>
  </si>
  <si>
    <t>SCM Purpose: Point-of-Use Information Retrieval &amp; Tactical Readiness.
What it does: Uses a "One-to-One" relational search (XLOOKUP) to bridge the gap between a massive 139-item master database and the person standing on the shop floor. It pulls critical real-time data—specifically Location, Stock Status, and Criticality—based on a unique identifier (Part ID).
Use Case: Ideal for rapid decision-making during the build. If a team member picks up a broken part, they can instantly see if a replacement is already in the shop, where it’s hidden, and whether they need to alert the procurement lead to reorder it immediately.</t>
  </si>
  <si>
    <t>Automated Purchase Order (PO)</t>
  </si>
  <si>
    <t xml:space="preserve">SCM Purpose: Procurement Automation &amp; Data Integrity Management.
What it does: Simulates a formal External Transaction Document. By utilizing "One-to-Many" lookups, it automatically populates  suppliers and unit costs from the master inventory to ensure that the financial data on the order is 100% accurate and consistent with the project's budget.
Use Case: This is the primary interface for the Purchasing Lead. It eliminates manual typing errors such as entering the wrong price or supplier.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</si>
</sst>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2"/>
      <color theme="1"/>
      <name val="Aptos"/>
      <family val="2"/>
    </font>
    <font>
      <b/>
      <sz val="11"/>
      <color theme="0"/>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s>
  <fills count="2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ED7474"/>
        <bgColor indexed="64"/>
      </patternFill>
    </fill>
    <fill>
      <patternFill patternType="solid">
        <fgColor theme="9"/>
        <bgColor indexed="64"/>
      </patternFill>
    </fill>
    <fill>
      <patternFill patternType="solid">
        <fgColor theme="4"/>
        <bgColor theme="4"/>
      </patternFill>
    </fill>
    <fill>
      <patternFill patternType="solid">
        <fgColor theme="4" tint="0.79998168889431442"/>
        <bgColor indexed="64"/>
      </patternFill>
    </fill>
    <fill>
      <patternFill patternType="solid">
        <fgColor theme="9" tint="-0.249977111117893"/>
        <bgColor indexed="64"/>
      </patternFill>
    </fill>
    <fill>
      <patternFill patternType="solid">
        <fgColor theme="4"/>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rgb="FFFF0066"/>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5"/>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4"/>
      </left>
      <right/>
      <top style="thin">
        <color theme="4"/>
      </top>
      <bottom/>
      <diagonal/>
    </border>
    <border>
      <left/>
      <right/>
      <top style="thin">
        <color theme="4"/>
      </top>
      <bottom/>
      <diagonal/>
    </border>
    <border>
      <left/>
      <right/>
      <top style="thin">
        <color theme="4"/>
      </top>
      <bottom style="thin">
        <color theme="4"/>
      </bottom>
      <diagonal/>
    </border>
    <border>
      <left style="thin">
        <color theme="4"/>
      </left>
      <right/>
      <top style="thin">
        <color theme="4"/>
      </top>
      <bottom style="thin">
        <color theme="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61">
    <xf numFmtId="0" fontId="0" fillId="0" borderId="0" xfId="0"/>
    <xf numFmtId="0" fontId="0" fillId="0" borderId="0" xfId="0" applyAlignment="1">
      <alignment horizontal="left" vertical="center" indent="1"/>
    </xf>
    <xf numFmtId="0" fontId="0" fillId="0" borderId="0" xfId="0" applyAlignment="1">
      <alignment wrapText="1"/>
    </xf>
    <xf numFmtId="0" fontId="0" fillId="2" borderId="0" xfId="0" applyFill="1"/>
    <xf numFmtId="0" fontId="0" fillId="3" borderId="0" xfId="0" applyFill="1"/>
    <xf numFmtId="0" fontId="1" fillId="0" borderId="0" xfId="1"/>
    <xf numFmtId="0" fontId="0" fillId="4" borderId="0" xfId="0" applyFill="1"/>
    <xf numFmtId="0" fontId="0" fillId="5" borderId="0" xfId="0" applyFill="1"/>
    <xf numFmtId="0" fontId="2" fillId="0" borderId="0" xfId="0" applyFont="1" applyAlignment="1">
      <alignment horizontal="left" vertical="center" indent="2"/>
    </xf>
    <xf numFmtId="0" fontId="2" fillId="0" borderId="0" xfId="0" applyFont="1" applyAlignment="1">
      <alignment vertical="center"/>
    </xf>
    <xf numFmtId="0" fontId="0" fillId="0" borderId="1" xfId="0" applyBorder="1"/>
    <xf numFmtId="0" fontId="0" fillId="0" borderId="0" xfId="0"/>
    <xf numFmtId="0" fontId="3" fillId="7" borderId="3" xfId="0" applyFont="1" applyFill="1" applyBorder="1"/>
    <xf numFmtId="0" fontId="0" fillId="0" borderId="3" xfId="0" applyFont="1" applyBorder="1"/>
    <xf numFmtId="0" fontId="0" fillId="0" borderId="0" xfId="0" pivotButton="1"/>
    <xf numFmtId="0" fontId="0" fillId="0" borderId="0" xfId="0" applyAlignment="1">
      <alignment horizontal="left"/>
    </xf>
    <xf numFmtId="0" fontId="0" fillId="0" borderId="0" xfId="0" applyNumberFormat="1"/>
    <xf numFmtId="0" fontId="0" fillId="0" borderId="4" xfId="0" applyFont="1" applyBorder="1"/>
    <xf numFmtId="0" fontId="3" fillId="7" borderId="2" xfId="0" applyFont="1" applyFill="1" applyBorder="1" applyAlignment="1">
      <alignment wrapText="1"/>
    </xf>
    <xf numFmtId="0" fontId="3" fillId="7" borderId="3" xfId="0" applyFont="1" applyFill="1" applyBorder="1" applyAlignment="1">
      <alignment wrapText="1"/>
    </xf>
    <xf numFmtId="0" fontId="2" fillId="0" borderId="2" xfId="0" applyFont="1" applyBorder="1" applyAlignment="1">
      <alignment horizontal="left" vertical="center" indent="2"/>
    </xf>
    <xf numFmtId="0" fontId="2" fillId="0" borderId="3" xfId="0" applyFont="1" applyBorder="1" applyAlignment="1">
      <alignment horizontal="left" vertical="center" indent="2"/>
    </xf>
    <xf numFmtId="0" fontId="2" fillId="0" borderId="5" xfId="0" applyFont="1" applyBorder="1" applyAlignment="1">
      <alignment horizontal="left" vertical="center" indent="2"/>
    </xf>
    <xf numFmtId="0" fontId="2" fillId="0" borderId="4" xfId="0" applyFont="1" applyBorder="1" applyAlignment="1">
      <alignment horizontal="left" vertical="center" indent="2"/>
    </xf>
    <xf numFmtId="14" fontId="0" fillId="0" borderId="3" xfId="0" applyNumberFormat="1" applyFont="1" applyBorder="1"/>
    <xf numFmtId="14" fontId="0" fillId="0" borderId="4" xfId="0" applyNumberFormat="1" applyFont="1" applyBorder="1"/>
    <xf numFmtId="0" fontId="0" fillId="0" borderId="0" xfId="0" applyAlignment="1">
      <alignment horizontal="center"/>
    </xf>
    <xf numFmtId="0" fontId="0" fillId="8" borderId="0" xfId="0" applyFill="1" applyAlignment="1">
      <alignment horizontal="center"/>
    </xf>
    <xf numFmtId="0" fontId="4" fillId="8" borderId="0" xfId="0" applyFont="1" applyFill="1" applyAlignment="1">
      <alignment horizontal="center"/>
    </xf>
    <xf numFmtId="0" fontId="0" fillId="0" borderId="0" xfId="0" applyAlignment="1">
      <alignment horizontal="center" wrapText="1"/>
    </xf>
    <xf numFmtId="0" fontId="4" fillId="8" borderId="0" xfId="0" applyFont="1" applyFill="1" applyAlignment="1"/>
    <xf numFmtId="0" fontId="4" fillId="0" borderId="0" xfId="0" applyFont="1" applyFill="1" applyAlignment="1"/>
    <xf numFmtId="0" fontId="0" fillId="8" borderId="0" xfId="0" applyFill="1"/>
    <xf numFmtId="0" fontId="0" fillId="8" borderId="0" xfId="0" applyFill="1" applyAlignment="1"/>
    <xf numFmtId="0" fontId="3" fillId="10" borderId="0" xfId="0" applyFont="1" applyFill="1" applyAlignment="1">
      <alignment horizontal="center" wrapText="1"/>
    </xf>
    <xf numFmtId="0" fontId="5" fillId="10" borderId="0" xfId="0" applyFont="1" applyFill="1" applyAlignment="1">
      <alignment horizontal="center" wrapText="1"/>
    </xf>
    <xf numFmtId="0" fontId="6" fillId="0" borderId="0" xfId="0" applyFont="1" applyAlignment="1">
      <alignment horizontal="center" wrapText="1"/>
    </xf>
    <xf numFmtId="0" fontId="0" fillId="0" borderId="0" xfId="0" applyAlignment="1">
      <alignment vertical="top" wrapText="1"/>
    </xf>
    <xf numFmtId="0" fontId="0" fillId="0" borderId="1" xfId="0" applyBorder="1" applyAlignment="1">
      <alignment vertical="top" wrapText="1"/>
    </xf>
    <xf numFmtId="0" fontId="4" fillId="11" borderId="1" xfId="0" applyFont="1" applyFill="1" applyBorder="1" applyAlignment="1">
      <alignment vertical="top" wrapText="1"/>
    </xf>
    <xf numFmtId="0" fontId="4" fillId="6" borderId="1" xfId="0" applyFont="1" applyFill="1" applyBorder="1" applyAlignment="1">
      <alignment vertical="top" wrapText="1"/>
    </xf>
    <xf numFmtId="0" fontId="0" fillId="0" borderId="0" xfId="0" applyAlignment="1">
      <alignment horizontal="right" vertical="top" wrapText="1"/>
    </xf>
    <xf numFmtId="0" fontId="0" fillId="0" borderId="0" xfId="0" applyAlignment="1">
      <alignment horizontal="left" vertical="top" wrapText="1" indent="1"/>
    </xf>
    <xf numFmtId="0" fontId="4" fillId="12" borderId="1" xfId="0" applyFont="1" applyFill="1" applyBorder="1" applyAlignment="1">
      <alignment horizontal="center" vertical="top" wrapText="1"/>
    </xf>
    <xf numFmtId="0" fontId="3" fillId="9" borderId="6" xfId="0" applyFont="1" applyFill="1" applyBorder="1" applyAlignment="1">
      <alignment horizontal="center" vertical="top" wrapText="1"/>
    </xf>
    <xf numFmtId="0" fontId="4" fillId="14" borderId="1" xfId="0" applyFont="1" applyFill="1" applyBorder="1" applyAlignment="1">
      <alignment horizontal="center" vertical="top" wrapText="1"/>
    </xf>
    <xf numFmtId="0" fontId="3" fillId="16" borderId="1" xfId="0" applyFont="1" applyFill="1" applyBorder="1" applyAlignment="1">
      <alignment horizontal="center" vertical="top" wrapText="1"/>
    </xf>
    <xf numFmtId="49" fontId="0" fillId="0" borderId="0" xfId="0" applyNumberFormat="1"/>
    <xf numFmtId="0" fontId="4" fillId="3" borderId="1" xfId="0" applyFont="1" applyFill="1" applyBorder="1"/>
    <xf numFmtId="0" fontId="0" fillId="0" borderId="1" xfId="0" applyNumberFormat="1" applyBorder="1"/>
    <xf numFmtId="0" fontId="4" fillId="17" borderId="1" xfId="0" applyFont="1" applyFill="1" applyBorder="1"/>
    <xf numFmtId="0" fontId="4" fillId="18" borderId="10" xfId="0" applyFont="1" applyFill="1" applyBorder="1" applyAlignment="1">
      <alignment horizontal="center"/>
    </xf>
    <xf numFmtId="0" fontId="4" fillId="18" borderId="11" xfId="0" applyFont="1" applyFill="1" applyBorder="1" applyAlignment="1">
      <alignment horizontal="center"/>
    </xf>
    <xf numFmtId="0" fontId="4" fillId="15" borderId="1" xfId="0" applyFont="1" applyFill="1" applyBorder="1" applyAlignment="1">
      <alignment horizontal="left" vertical="top" wrapText="1"/>
    </xf>
    <xf numFmtId="0" fontId="0" fillId="0" borderId="1" xfId="0" applyBorder="1" applyAlignment="1">
      <alignment horizontal="left" vertical="top" wrapText="1"/>
    </xf>
    <xf numFmtId="0" fontId="4" fillId="13" borderId="1" xfId="0" applyFont="1" applyFill="1" applyBorder="1" applyAlignment="1">
      <alignment horizontal="lef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4" fillId="19" borderId="1" xfId="0" applyFont="1" applyFill="1" applyBorder="1" applyAlignment="1">
      <alignment horizontal="center" vertical="top" wrapText="1"/>
    </xf>
    <xf numFmtId="0" fontId="0" fillId="20" borderId="1" xfId="0" applyFill="1" applyBorder="1" applyAlignment="1">
      <alignment horizontal="left" vertical="top" wrapText="1"/>
    </xf>
  </cellXfs>
  <cellStyles count="2">
    <cellStyle name="Hyperlink" xfId="1" builtinId="8"/>
    <cellStyle name="Normal" xfId="0" builtinId="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fgColor rgb="FFFF5050"/>
          <bgColor rgb="FFFF0000"/>
        </patternFill>
      </fill>
    </dxf>
    <dxf>
      <font>
        <color rgb="FF9C0006"/>
      </font>
      <fill>
        <patternFill>
          <bgColor rgb="FFFFC7CE"/>
        </patternFill>
      </fill>
    </dxf>
    <dxf>
      <font>
        <color rgb="FF9C0006"/>
      </font>
      <fill>
        <patternFill>
          <bgColor rgb="FFFFC7CE"/>
        </patternFill>
      </fill>
    </dxf>
    <dxf>
      <numFmt numFmtId="30" formatCode="@"/>
    </dxf>
    <dxf>
      <alignment wrapText="1"/>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op>
        <bottom/>
        <vertical/>
        <horizontal/>
      </border>
    </dxf>
    <dxf>
      <font>
        <b val="0"/>
        <i val="0"/>
        <strike val="0"/>
        <condense val="0"/>
        <extend val="0"/>
        <outline val="0"/>
        <shadow val="0"/>
        <u val="none"/>
        <vertAlign val="baseline"/>
        <sz val="12"/>
        <color theme="1"/>
        <name val="Aptos"/>
        <family val="2"/>
        <scheme val="none"/>
      </font>
      <alignment horizontal="left" vertical="center" textRotation="0" wrapText="0" indent="2"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2"/>
        <color theme="1"/>
        <name val="Aptos"/>
        <family val="2"/>
        <scheme val="none"/>
      </font>
      <alignment horizontal="left" vertical="center" textRotation="0" wrapText="0" indent="2"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theme="1"/>
        <name val="Aptos"/>
        <family val="2"/>
        <scheme val="none"/>
      </font>
      <alignment horizontal="left" vertical="center" textRotation="0" wrapText="0" indent="2"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2"/>
        <color theme="1"/>
        <name val="Aptos"/>
        <family val="2"/>
        <scheme val="none"/>
      </font>
      <alignment horizontal="left" vertical="center" textRotation="0" wrapText="0" indent="2"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2"/>
        <color theme="1"/>
        <name val="Aptos"/>
        <family val="2"/>
        <scheme val="none"/>
      </font>
      <alignment horizontal="left" vertical="center" textRotation="0" wrapText="0" indent="2"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2"/>
        <color theme="1"/>
        <name val="Aptos"/>
        <family val="2"/>
        <scheme val="none"/>
      </font>
      <alignment horizontal="left" vertical="center" textRotation="0" wrapText="0" indent="2" justifyLastLine="0" shrinkToFit="0" readingOrder="0"/>
    </dxf>
    <dxf>
      <border outline="0">
        <right style="thin">
          <color theme="4"/>
        </right>
      </border>
    </dxf>
  </dxfs>
  <tableStyles count="0" defaultTableStyle="TableStyleMedium2" defaultPivotStyle="PivotStyleLight16"/>
  <colors>
    <mruColors>
      <color rgb="FFFF00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357465</xdr:colOff>
      <xdr:row>15</xdr:row>
      <xdr:rowOff>221876</xdr:rowOff>
    </xdr:from>
    <xdr:to>
      <xdr:col>5</xdr:col>
      <xdr:colOff>651060</xdr:colOff>
      <xdr:row>27</xdr:row>
      <xdr:rowOff>199465</xdr:rowOff>
    </xdr:to>
    <mc:AlternateContent xmlns:mc="http://schemas.openxmlformats.org/markup-compatibility/2006">
      <mc:Choice xmlns:a14="http://schemas.microsoft.com/office/drawing/2010/main" Requires="a14">
        <xdr:graphicFrame macro="">
          <xdr:nvGraphicFramePr>
            <xdr:cNvPr id="2" name="Subsystem 1">
              <a:extLst>
                <a:ext uri="{FF2B5EF4-FFF2-40B4-BE49-F238E27FC236}">
                  <a16:creationId xmlns:a16="http://schemas.microsoft.com/office/drawing/2014/main" id="{645EA458-D8EA-418E-BBD7-E2C0602E3EA0}"/>
                </a:ext>
              </a:extLst>
            </xdr:cNvPr>
            <xdr:cNvGraphicFramePr/>
          </xdr:nvGraphicFramePr>
          <xdr:xfrm>
            <a:off x="0" y="0"/>
            <a:ext cx="0" cy="0"/>
          </xdr:xfrm>
          <a:graphic>
            <a:graphicData uri="http://schemas.microsoft.com/office/drawing/2010/slicer">
              <sle:slicer xmlns:sle="http://schemas.microsoft.com/office/drawing/2010/slicer" name="Subsystem 1"/>
            </a:graphicData>
          </a:graphic>
        </xdr:graphicFrame>
      </mc:Choice>
      <mc:Fallback>
        <xdr:sp macro="" textlink="">
          <xdr:nvSpPr>
            <xdr:cNvPr id="0" name=""/>
            <xdr:cNvSpPr>
              <a:spLocks noTextEdit="1"/>
            </xdr:cNvSpPr>
          </xdr:nvSpPr>
          <xdr:spPr>
            <a:xfrm>
              <a:off x="5635436" y="358364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27214</xdr:colOff>
      <xdr:row>6</xdr:row>
      <xdr:rowOff>81643</xdr:rowOff>
    </xdr:from>
    <xdr:to>
      <xdr:col>0</xdr:col>
      <xdr:colOff>1856014</xdr:colOff>
      <xdr:row>19</xdr:row>
      <xdr:rowOff>95250</xdr:rowOff>
    </xdr:to>
    <mc:AlternateContent xmlns:mc="http://schemas.openxmlformats.org/markup-compatibility/2006">
      <mc:Choice xmlns:sle15="http://schemas.microsoft.com/office/drawing/2012/slicer" Requires="sle15">
        <xdr:graphicFrame macro="">
          <xdr:nvGraphicFramePr>
            <xdr:cNvPr id="5" name="Subsystem">
              <a:extLst>
                <a:ext uri="{FF2B5EF4-FFF2-40B4-BE49-F238E27FC236}">
                  <a16:creationId xmlns:a16="http://schemas.microsoft.com/office/drawing/2014/main" id="{612DDC99-9763-B2F5-9E47-0E0339DCBF18}"/>
                </a:ext>
              </a:extLst>
            </xdr:cNvPr>
            <xdr:cNvGraphicFramePr/>
          </xdr:nvGraphicFramePr>
          <xdr:xfrm>
            <a:off x="0" y="0"/>
            <a:ext cx="0" cy="0"/>
          </xdr:xfrm>
          <a:graphic>
            <a:graphicData uri="http://schemas.microsoft.com/office/drawing/2010/slicer">
              <sle:slicer xmlns:sle="http://schemas.microsoft.com/office/drawing/2010/slicer" name="Subsystem"/>
            </a:graphicData>
          </a:graphic>
        </xdr:graphicFrame>
      </mc:Choice>
      <mc:Fallback>
        <xdr:sp macro="" textlink="">
          <xdr:nvSpPr>
            <xdr:cNvPr id="0" name=""/>
            <xdr:cNvSpPr>
              <a:spLocks noTextEdit="1"/>
            </xdr:cNvSpPr>
          </xdr:nvSpPr>
          <xdr:spPr>
            <a:xfrm>
              <a:off x="27214" y="1292679"/>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1836964</xdr:colOff>
      <xdr:row>6</xdr:row>
      <xdr:rowOff>95250</xdr:rowOff>
    </xdr:from>
    <xdr:to>
      <xdr:col>1</xdr:col>
      <xdr:colOff>1801585</xdr:colOff>
      <xdr:row>19</xdr:row>
      <xdr:rowOff>108857</xdr:rowOff>
    </xdr:to>
    <mc:AlternateContent xmlns:mc="http://schemas.openxmlformats.org/markup-compatibility/2006">
      <mc:Choice xmlns:sle15="http://schemas.microsoft.com/office/drawing/2012/slicer" Requires="sle15">
        <xdr:graphicFrame macro="">
          <xdr:nvGraphicFramePr>
            <xdr:cNvPr id="6" name="Drawer Location">
              <a:extLst>
                <a:ext uri="{FF2B5EF4-FFF2-40B4-BE49-F238E27FC236}">
                  <a16:creationId xmlns:a16="http://schemas.microsoft.com/office/drawing/2014/main" id="{5FB91989-F8F0-0522-028C-8DCCCF115BB1}"/>
                </a:ext>
              </a:extLst>
            </xdr:cNvPr>
            <xdr:cNvGraphicFramePr/>
          </xdr:nvGraphicFramePr>
          <xdr:xfrm>
            <a:off x="0" y="0"/>
            <a:ext cx="0" cy="0"/>
          </xdr:xfrm>
          <a:graphic>
            <a:graphicData uri="http://schemas.microsoft.com/office/drawing/2010/slicer">
              <sle:slicer xmlns:sle="http://schemas.microsoft.com/office/drawing/2010/slicer" name="Drawer Location"/>
            </a:graphicData>
          </a:graphic>
        </xdr:graphicFrame>
      </mc:Choice>
      <mc:Fallback>
        <xdr:sp macro="" textlink="">
          <xdr:nvSpPr>
            <xdr:cNvPr id="0" name=""/>
            <xdr:cNvSpPr>
              <a:spLocks noTextEdit="1"/>
            </xdr:cNvSpPr>
          </xdr:nvSpPr>
          <xdr:spPr>
            <a:xfrm>
              <a:off x="1836964" y="130628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19</xdr:row>
      <xdr:rowOff>108856</xdr:rowOff>
    </xdr:from>
    <xdr:to>
      <xdr:col>0</xdr:col>
      <xdr:colOff>1828800</xdr:colOff>
      <xdr:row>32</xdr:row>
      <xdr:rowOff>122464</xdr:rowOff>
    </xdr:to>
    <mc:AlternateContent xmlns:mc="http://schemas.openxmlformats.org/markup-compatibility/2006">
      <mc:Choice xmlns:sle15="http://schemas.microsoft.com/office/drawing/2012/slicer" Requires="sle15">
        <xdr:graphicFrame macro="">
          <xdr:nvGraphicFramePr>
            <xdr:cNvPr id="7" name="Supplier">
              <a:extLst>
                <a:ext uri="{FF2B5EF4-FFF2-40B4-BE49-F238E27FC236}">
                  <a16:creationId xmlns:a16="http://schemas.microsoft.com/office/drawing/2014/main" id="{1F9E2545-5566-5CCF-775B-46102BFE7D85}"/>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0" y="397328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1836964</xdr:colOff>
      <xdr:row>19</xdr:row>
      <xdr:rowOff>95249</xdr:rowOff>
    </xdr:from>
    <xdr:to>
      <xdr:col>1</xdr:col>
      <xdr:colOff>1801585</xdr:colOff>
      <xdr:row>32</xdr:row>
      <xdr:rowOff>108857</xdr:rowOff>
    </xdr:to>
    <mc:AlternateContent xmlns:mc="http://schemas.openxmlformats.org/markup-compatibility/2006">
      <mc:Choice xmlns:sle15="http://schemas.microsoft.com/office/drawing/2012/slicer" Requires="sle15">
        <xdr:graphicFrame macro="">
          <xdr:nvGraphicFramePr>
            <xdr:cNvPr id="8" name="Criticality">
              <a:extLst>
                <a:ext uri="{FF2B5EF4-FFF2-40B4-BE49-F238E27FC236}">
                  <a16:creationId xmlns:a16="http://schemas.microsoft.com/office/drawing/2014/main" id="{E9618ACE-899B-24D3-7D2A-D83E7D883A9D}"/>
                </a:ext>
              </a:extLst>
            </xdr:cNvPr>
            <xdr:cNvGraphicFramePr/>
          </xdr:nvGraphicFramePr>
          <xdr:xfrm>
            <a:off x="0" y="0"/>
            <a:ext cx="0" cy="0"/>
          </xdr:xfrm>
          <a:graphic>
            <a:graphicData uri="http://schemas.microsoft.com/office/drawing/2010/slicer">
              <sle:slicer xmlns:sle="http://schemas.microsoft.com/office/drawing/2010/slicer" name="Criticality"/>
            </a:graphicData>
          </a:graphic>
        </xdr:graphicFrame>
      </mc:Choice>
      <mc:Fallback>
        <xdr:sp macro="" textlink="">
          <xdr:nvSpPr>
            <xdr:cNvPr id="0" name=""/>
            <xdr:cNvSpPr>
              <a:spLocks noTextEdit="1"/>
            </xdr:cNvSpPr>
          </xdr:nvSpPr>
          <xdr:spPr>
            <a:xfrm>
              <a:off x="1836964" y="3959678"/>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shan Rehan" refreshedDate="46071.554557870368" createdVersion="8" refreshedVersion="8" minRefreshableVersion="3" recordCount="139" xr:uid="{76CD1A89-3CB4-403B-BAC7-1E4576D2D771}">
  <cacheSource type="worksheet">
    <worksheetSource name="Table2"/>
  </cacheSource>
  <cacheFields count="19">
    <cacheField name="Part ID" numFmtId="0">
      <sharedItems containsSemiMixedTypes="0" containsString="0" containsNumber="1" containsInteger="1" minValue="1" maxValue="139"/>
    </cacheField>
    <cacheField name="Part Name" numFmtId="0">
      <sharedItems count="139">
        <s v="4130 Chromoly Steel Tubing (1” OD)"/>
        <s v="4130 Chromoly Steel Tubing (0.75” OD)"/>
        <s v="Steel Mounting Tabs"/>
        <s v="Roll Cage Gussets"/>
        <s v="Skid Plate (Aluminum)"/>
        <s v="Engine Mount Plate"/>
        <s v="Transmission Mount Plate"/>
        <s v="Welded Frame Assembly"/>
        <s v="Side Impact Panel"/>
        <s v="Firewall Aluminum Sheet"/>
        <s v="Rivets (1/8” Aluminum)"/>
        <s v="Frame Jig Blocks"/>
        <s v="Seat Mount Brackets"/>
        <s v="Battery Mount Tray"/>
        <s v="Tube End Caps"/>
        <s v="Front A-Arms (Upper)"/>
        <s v="Front A-Arms (Lower)"/>
        <s v="Rear Trailing Arms"/>
        <s v="Heim Joints (Rod Ends)"/>
        <s v="Ball Joints"/>
        <s v="Suspension Bushings"/>
        <s v="Coilover Shocks (Front)"/>
        <s v="Coilover Shocks (Rear)"/>
        <s v="Shock Springs"/>
        <s v="Shock Mount Tabs"/>
        <s v="Spindles"/>
        <s v="Wheel Hubs"/>
        <s v="Wheel Bearings"/>
        <s v="Snap Rings"/>
        <s v="Retaining Clips"/>
        <s v="Suspension Bolts (Grade 8)"/>
        <s v="Suspension Spacers"/>
        <s v="Camber Adjustment Plates"/>
        <s v="Toe Link Assembly"/>
        <s v="Anti-Sway Bar"/>
        <s v="Brake Rotors"/>
        <s v="Brake Calipers"/>
        <s v="Brake Pads"/>
        <s v="Brake Master Cylinder"/>
        <s v="Brake Pedal Assembly"/>
        <s v="Brake Bias Adjuster"/>
        <s v="Brake Lines (Steel Braided)"/>
        <s v="Brake Line Fittings"/>
        <s v="Brake Fluid (DOT 4)"/>
        <s v="Reservoir Tank"/>
        <s v="Brake Light Switch"/>
        <s v="Clevis Pins"/>
        <s v="Banjo Bolts"/>
        <s v="Copper Crush Washers"/>
        <s v="Brake Mount Brackets"/>
        <s v="Steering Rack"/>
        <s v="Steering Wheel"/>
        <s v="Quick Release Hub"/>
        <s v="Steering Column Shaft"/>
        <s v="Steering U-Joints"/>
        <s v="Tie Rods"/>
        <s v="Tie Rod Ends"/>
        <s v="Rack Mount Clamps"/>
        <s v="Steering Stops"/>
        <s v="Column Bearings"/>
        <s v="Steering Shaft Support"/>
        <s v="Steering Coupler"/>
        <s v="Set Screws"/>
        <s v="Lock Nuts"/>
        <s v="Steering Wheel Spacer"/>
        <s v="Briggs &amp; Stratton Engine"/>
        <s v="CVT Primary Clutch"/>
        <s v="CVT Secondary Clutch"/>
        <s v="Drive Belt"/>
        <s v="Gearbox Housing"/>
        <s v="Differential"/>
        <s v="Axles"/>
        <s v="CV Joints"/>
        <s v="Sprockets"/>
        <s v="Drive Chain"/>
        <s v="Chain Tensioner"/>
        <s v="Engine Kill Switch"/>
        <s v="Fuel Tank"/>
        <s v="Fuel Lines"/>
        <s v="Fuel Filter"/>
        <s v="Throttle Cable"/>
        <s v="Exhaust Header"/>
        <s v="Muffler"/>
        <s v="Radiator (if custom)"/>
        <s v="Cooling Fan"/>
        <s v="Racing Seat"/>
        <s v="5-Point Harness"/>
        <s v="Padding Foam"/>
        <s v="Dashboard Panel"/>
        <s v="Digital Display"/>
        <s v="Fire Extinguisher"/>
        <s v="Mounting Brackets"/>
        <s v="Seat Slider"/>
        <s v="Driver Net"/>
        <s v="Helmet Support Strap"/>
        <s v="Arduino Board"/>
        <s v="Raspberry Pi"/>
        <s v="Data Logger Module"/>
        <s v="GPS Module"/>
        <s v="Accelerometer Sensor"/>
        <s v="Wheel Speed Sensor"/>
        <s v="Temperature Sensor"/>
        <s v="Pressure Sensor"/>
        <s v="Wiring Harness"/>
        <s v="Heat Shrink Tubing"/>
        <s v="Crimp Connectors"/>
        <s v="Fuse Block"/>
        <s v="Battery Pack"/>
        <s v="Voltage Regulator"/>
        <s v="SD Card Storage Module"/>
        <s v="Aluminum Stock (6061)"/>
        <s v="Steel Stock Bars"/>
        <s v="Lathe Cutting Tool Inserts"/>
        <s v="End Mills (Carbide)"/>
        <s v="Drill Bits (Cobalt)"/>
        <s v="Tapping Set"/>
        <s v="Reamer Set"/>
        <s v="Coolant Fluid"/>
        <s v="Measuring Calipers"/>
        <s v="Micrometer"/>
        <s v="Grade 8 Bolts (various sizes)"/>
        <s v="Nylon Lock Nuts"/>
        <s v="Washers"/>
        <s v="Cotter Pins"/>
        <s v="Threadlocker"/>
        <s v="Zip Ties"/>
        <s v="Electrical Tape"/>
        <s v="Hose Clamps"/>
        <s v="Rivnut Inserts"/>
        <s v="Grommets"/>
        <s v="Cable Clamps"/>
        <s v="Silicone Sealant"/>
        <s v="Anti-Seize Compound"/>
        <s v="Loctite 242"/>
        <s v="JB Weld"/>
        <s v="Sandpaper Packs"/>
        <s v="Grinding Discs"/>
        <s v="Cutting Wheels"/>
        <s v="Shop Towels"/>
      </sharedItems>
    </cacheField>
    <cacheField name="Subsystem" numFmtId="0">
      <sharedItems count="9">
        <s v="Chassis"/>
        <s v="Suspension"/>
        <s v="Brakes"/>
        <s v="Steering"/>
        <s v="Drivetrain"/>
        <s v="Ergonomics"/>
        <s v="DAQ"/>
        <s v="Manufacturing"/>
        <s v="Extra Hardware"/>
      </sharedItems>
    </cacheField>
    <cacheField name="Drawer Location" numFmtId="0">
      <sharedItems count="7">
        <s v="Main Shop – Metal Components"/>
        <s v="Parts Trailer"/>
        <s v="Main Shop – Screws &amp; Drills"/>
        <s v="UCF Machinery Workshop"/>
        <s v="Main Shop – Chemicals"/>
        <s v="Main Shop – General Storage"/>
        <s v="Main Shop – Electronic Drawer"/>
      </sharedItems>
    </cacheField>
    <cacheField name="Supplier" numFmtId="0">
      <sharedItems count="56">
        <s v="Wicks Aircraft Supply"/>
        <s v="AA Manufacturing"/>
        <s v="SendCutSend"/>
        <s v="OnlineMetals"/>
        <s v="In-House Fabrication"/>
        <s v="Polymershapes"/>
        <s v="McMaster-Carr"/>
        <s v="80/20 Inc."/>
        <s v="Amazon"/>
        <s v="FK Rod Ends"/>
        <s v="Moog"/>
        <s v="Fox Racing Shox"/>
        <s v="Eibach"/>
        <s v="Polaris (OEM)"/>
        <s v="SKF"/>
        <s v="Misumi"/>
        <s v="Speedway Motors"/>
        <s v="Wilwood"/>
        <s v="Tilton Engineering"/>
        <s v="Summit Racing"/>
        <s v="AutoZone"/>
        <s v="Rack &amp; Pinion output (generic)"/>
        <s v="MPI"/>
        <s v="QA1"/>
        <s v="Briggs &amp; Stratton"/>
        <s v="Gaged Engineering"/>
        <s v="In-House CNC"/>
        <s v="Hilliard"/>
        <s v="RCVS"/>
        <s v="Porsche (930 style)"/>
        <s v="Pyrotect"/>
        <s v="Terry Cable"/>
        <s v="Mishimoto"/>
        <s v="SPAL"/>
        <s v="Kirkey Racing"/>
        <s v="Simpson"/>
        <s v="BSCI Energy Impact"/>
        <s v="Trail Tech"/>
        <s v="Kidde"/>
        <s v="Sparco"/>
        <s v="Adafruit"/>
        <s v="CanaKit"/>
        <s v="SparkFun"/>
        <s v="DigiKey"/>
        <s v="Blue Sea Systems"/>
        <s v="Shorai"/>
        <s v="Sandvik"/>
        <s v="MSC Industrial"/>
        <s v="Mitutoyo"/>
        <s v="Loctite"/>
        <s v="Uline"/>
        <s v="3M"/>
        <s v="Permatex"/>
        <s v="J-B Weld"/>
        <s v="Norton"/>
        <s v="Scott"/>
      </sharedItems>
    </cacheField>
    <cacheField name="Quantity" numFmtId="0">
      <sharedItems containsSemiMixedTypes="0" containsString="0" containsNumber="1" containsInteger="1" minValue="1" maxValue="1000"/>
    </cacheField>
    <cacheField name="Quantity Units" numFmtId="0">
      <sharedItems/>
    </cacheField>
    <cacheField name="Unit Cost (USD)" numFmtId="0">
      <sharedItems containsSemiMixedTypes="0" containsString="0" containsNumber="1" minValue="0" maxValue="1100"/>
    </cacheField>
    <cacheField name="Total Cost (USD)" numFmtId="0">
      <sharedItems containsSemiMixedTypes="0" containsString="0" containsNumber="1" minValue="0" maxValue="2250" count="85">
        <n v="2250"/>
        <n v="1500"/>
        <n v="375"/>
        <n v="600"/>
        <n v="700"/>
        <n v="225"/>
        <n v="195"/>
        <n v="0"/>
        <n v="380"/>
        <n v="290"/>
        <n v="120"/>
        <n v="1350"/>
        <n v="90"/>
        <n v="180"/>
        <n v="1152"/>
        <n v="520"/>
        <n v="304"/>
        <n v="1900"/>
        <n v="2200"/>
        <n v="204"/>
        <n v="1110"/>
        <n v="660"/>
        <n v="50"/>
        <n v="85"/>
        <n v="196"/>
        <n v="340"/>
        <n v="200"/>
        <n v="480"/>
        <n v="920"/>
        <n v="780"/>
        <n v="555"/>
        <n v="230"/>
        <n v="108"/>
        <n v="105"/>
        <n v="114"/>
        <n v="62.5"/>
        <n v="360"/>
        <n v="900"/>
        <n v="240"/>
        <n v="250"/>
        <n v="210"/>
        <n v="88"/>
        <n v="112"/>
        <n v="130"/>
        <n v="45"/>
        <n v="70"/>
        <n v="1300"/>
        <n v="1100"/>
        <n v="1150"/>
        <n v="1700"/>
        <n v="1800"/>
        <n v="1480"/>
        <n v="390"/>
        <n v="280"/>
        <n v="150"/>
        <n v="100"/>
        <n v="650"/>
        <n v="435"/>
        <n v="350"/>
        <n v="450"/>
        <n v="570"/>
        <n v="170"/>
        <n v="165"/>
        <n v="190"/>
        <n v="110"/>
        <n v="345"/>
        <n v="690"/>
        <n v="270"/>
        <n v="740"/>
        <n v="312.5"/>
        <n v="75"/>
        <n v="675"/>
        <n v="135"/>
        <n v="60"/>
        <n v="580"/>
        <n v="510"/>
        <n v="370"/>
        <n v="275"/>
        <n v="430"/>
        <n v="425"/>
        <n v="30"/>
        <n v="122.50000000000001"/>
        <n v="48"/>
        <n v="36"/>
        <n v="260"/>
      </sharedItems>
    </cacheField>
    <cacheField name="Usage Rate" numFmtId="0">
      <sharedItems containsSemiMixedTypes="0" containsString="0" containsNumber="1" containsInteger="1" minValue="0" maxValue="30"/>
    </cacheField>
    <cacheField name="Lead Time (Days)" numFmtId="0">
      <sharedItems containsSemiMixedTypes="0" containsString="0" containsNumber="1" containsInteger="1" minValue="0" maxValue="30" count="10">
        <n v="7"/>
        <n v="3"/>
        <n v="5"/>
        <n v="0"/>
        <n v="4"/>
        <n v="2"/>
        <n v="10"/>
        <n v="14"/>
        <n v="21"/>
        <n v="30"/>
      </sharedItems>
    </cacheField>
    <cacheField name="Safety Stock" numFmtId="0">
      <sharedItems containsSemiMixedTypes="0" containsString="0" containsNumber="1" containsInteger="1" minValue="0" maxValue="150"/>
    </cacheField>
    <cacheField name="Reorder Point" numFmtId="0">
      <sharedItems containsSemiMixedTypes="0" containsString="0" containsNumber="1" containsInteger="1" minValue="0" maxValue="151"/>
    </cacheField>
    <cacheField name="Stock Status" numFmtId="0">
      <sharedItems count="2">
        <s v="OK"/>
        <s v="REORDER"/>
      </sharedItems>
    </cacheField>
    <cacheField name="Order Quantity" numFmtId="0">
      <sharedItems containsSemiMixedTypes="0" containsString="0" containsNumber="1" containsInteger="1" minValue="0" maxValue="14"/>
    </cacheField>
    <cacheField name="Criticality" numFmtId="0">
      <sharedItems count="3">
        <s v="A"/>
        <s v="C"/>
        <s v="B"/>
      </sharedItems>
    </cacheField>
    <cacheField name="Last Updated" numFmtId="14">
      <sharedItems containsSemiMixedTypes="0" containsNonDate="0" containsDate="1" containsString="0" minDate="2026-01-12T00:00:00" maxDate="2026-01-13T00:00:00"/>
    </cacheField>
    <cacheField name="Buffer Health" numFmtId="0" formula="Quantity -'Safety Stock'" databaseField="0"/>
    <cacheField name="Restock Cost" numFmtId="0" formula="'Order Quantity' *'Unit Cost (USD)'" databaseField="0"/>
  </cacheFields>
  <extLst>
    <ext xmlns:x14="http://schemas.microsoft.com/office/spreadsheetml/2009/9/main" uri="{725AE2AE-9491-48be-B2B4-4EB974FC3084}">
      <x14:pivotCacheDefinition pivotCacheId="1083123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
  <r>
    <n v="1"/>
    <x v="0"/>
    <x v="0"/>
    <x v="0"/>
    <x v="0"/>
    <n v="100"/>
    <s v="ft"/>
    <n v="22.5"/>
    <x v="0"/>
    <n v="5"/>
    <x v="0"/>
    <n v="1"/>
    <n v="3"/>
    <x v="0"/>
    <n v="0"/>
    <x v="0"/>
    <d v="2026-01-12T00:00:00"/>
  </r>
  <r>
    <n v="2"/>
    <x v="1"/>
    <x v="0"/>
    <x v="0"/>
    <x v="0"/>
    <n v="80"/>
    <s v="ft"/>
    <n v="18.75"/>
    <x v="1"/>
    <n v="4"/>
    <x v="0"/>
    <n v="1"/>
    <n v="2"/>
    <x v="0"/>
    <n v="0"/>
    <x v="0"/>
    <d v="2026-01-12T00:00:00"/>
  </r>
  <r>
    <n v="3"/>
    <x v="2"/>
    <x v="0"/>
    <x v="0"/>
    <x v="1"/>
    <n v="150"/>
    <s v="ea"/>
    <n v="2.5"/>
    <x v="2"/>
    <n v="6"/>
    <x v="1"/>
    <n v="1"/>
    <n v="2"/>
    <x v="0"/>
    <n v="0"/>
    <x v="1"/>
    <d v="2026-01-12T00:00:00"/>
  </r>
  <r>
    <n v="4"/>
    <x v="3"/>
    <x v="0"/>
    <x v="0"/>
    <x v="2"/>
    <n v="100"/>
    <s v="ea"/>
    <n v="6"/>
    <x v="3"/>
    <n v="4"/>
    <x v="2"/>
    <n v="1"/>
    <n v="2"/>
    <x v="0"/>
    <n v="0"/>
    <x v="2"/>
    <d v="2026-01-12T00:00:00"/>
  </r>
  <r>
    <n v="5"/>
    <x v="4"/>
    <x v="0"/>
    <x v="1"/>
    <x v="3"/>
    <n v="2"/>
    <s v="Sheet"/>
    <n v="350"/>
    <x v="4"/>
    <n v="0"/>
    <x v="2"/>
    <n v="1"/>
    <n v="1"/>
    <x v="0"/>
    <n v="0"/>
    <x v="2"/>
    <d v="2026-01-12T00:00:00"/>
  </r>
  <r>
    <n v="6"/>
    <x v="5"/>
    <x v="0"/>
    <x v="0"/>
    <x v="2"/>
    <n v="3"/>
    <s v="ea"/>
    <n v="75"/>
    <x v="5"/>
    <n v="0"/>
    <x v="2"/>
    <n v="1"/>
    <n v="1"/>
    <x v="0"/>
    <n v="0"/>
    <x v="2"/>
    <d v="2026-01-12T00:00:00"/>
  </r>
  <r>
    <n v="7"/>
    <x v="6"/>
    <x v="0"/>
    <x v="0"/>
    <x v="2"/>
    <n v="3"/>
    <s v="ea"/>
    <n v="65"/>
    <x v="6"/>
    <n v="0"/>
    <x v="2"/>
    <n v="1"/>
    <n v="1"/>
    <x v="0"/>
    <n v="0"/>
    <x v="2"/>
    <d v="2026-01-12T00:00:00"/>
  </r>
  <r>
    <n v="8"/>
    <x v="7"/>
    <x v="0"/>
    <x v="1"/>
    <x v="4"/>
    <n v="1"/>
    <s v="ea"/>
    <n v="0"/>
    <x v="7"/>
    <n v="0"/>
    <x v="3"/>
    <n v="0"/>
    <n v="0"/>
    <x v="0"/>
    <n v="0"/>
    <x v="0"/>
    <d v="2026-01-12T00:00:00"/>
  </r>
  <r>
    <n v="9"/>
    <x v="8"/>
    <x v="0"/>
    <x v="1"/>
    <x v="5"/>
    <n v="4"/>
    <s v="Sheet"/>
    <n v="95"/>
    <x v="8"/>
    <n v="0"/>
    <x v="4"/>
    <n v="1"/>
    <n v="1"/>
    <x v="0"/>
    <n v="0"/>
    <x v="2"/>
    <d v="2026-01-12T00:00:00"/>
  </r>
  <r>
    <n v="10"/>
    <x v="9"/>
    <x v="0"/>
    <x v="0"/>
    <x v="3"/>
    <n v="2"/>
    <s v="Sheet"/>
    <n v="145"/>
    <x v="9"/>
    <n v="0"/>
    <x v="2"/>
    <n v="1"/>
    <n v="1"/>
    <x v="0"/>
    <n v="0"/>
    <x v="2"/>
    <d v="2026-01-12T00:00:00"/>
  </r>
  <r>
    <n v="11"/>
    <x v="10"/>
    <x v="0"/>
    <x v="2"/>
    <x v="6"/>
    <n v="1000"/>
    <s v="ea"/>
    <n v="0.12"/>
    <x v="10"/>
    <n v="20"/>
    <x v="5"/>
    <n v="50"/>
    <n v="52"/>
    <x v="0"/>
    <n v="0"/>
    <x v="1"/>
    <d v="2026-01-12T00:00:00"/>
  </r>
  <r>
    <n v="12"/>
    <x v="11"/>
    <x v="0"/>
    <x v="3"/>
    <x v="7"/>
    <n v="30"/>
    <s v="ea"/>
    <n v="45"/>
    <x v="11"/>
    <n v="0"/>
    <x v="6"/>
    <n v="1"/>
    <n v="1"/>
    <x v="0"/>
    <n v="0"/>
    <x v="2"/>
    <d v="2026-01-12T00:00:00"/>
  </r>
  <r>
    <n v="13"/>
    <x v="12"/>
    <x v="0"/>
    <x v="0"/>
    <x v="1"/>
    <n v="8"/>
    <s v="ea"/>
    <n v="15"/>
    <x v="10"/>
    <n v="0"/>
    <x v="1"/>
    <n v="1"/>
    <n v="1"/>
    <x v="0"/>
    <n v="0"/>
    <x v="1"/>
    <d v="2026-01-12T00:00:00"/>
  </r>
  <r>
    <n v="14"/>
    <x v="13"/>
    <x v="0"/>
    <x v="0"/>
    <x v="8"/>
    <n v="2"/>
    <s v="ea"/>
    <n v="45"/>
    <x v="12"/>
    <n v="0"/>
    <x v="4"/>
    <n v="1"/>
    <n v="1"/>
    <x v="0"/>
    <n v="0"/>
    <x v="1"/>
    <d v="2026-01-12T00:00:00"/>
  </r>
  <r>
    <n v="15"/>
    <x v="14"/>
    <x v="0"/>
    <x v="0"/>
    <x v="6"/>
    <n v="40"/>
    <s v="ea"/>
    <n v="4.5"/>
    <x v="13"/>
    <n v="2"/>
    <x v="5"/>
    <n v="4"/>
    <n v="5"/>
    <x v="0"/>
    <n v="0"/>
    <x v="1"/>
    <d v="2026-01-12T00:00:00"/>
  </r>
  <r>
    <n v="16"/>
    <x v="15"/>
    <x v="1"/>
    <x v="1"/>
    <x v="4"/>
    <n v="4"/>
    <s v="ea"/>
    <n v="0"/>
    <x v="7"/>
    <n v="0"/>
    <x v="3"/>
    <n v="1"/>
    <n v="1"/>
    <x v="0"/>
    <n v="0"/>
    <x v="0"/>
    <d v="2026-01-12T00:00:00"/>
  </r>
  <r>
    <n v="17"/>
    <x v="16"/>
    <x v="1"/>
    <x v="1"/>
    <x v="4"/>
    <n v="4"/>
    <s v="ea"/>
    <n v="0"/>
    <x v="7"/>
    <n v="0"/>
    <x v="3"/>
    <n v="1"/>
    <n v="1"/>
    <x v="0"/>
    <n v="0"/>
    <x v="0"/>
    <d v="2026-01-12T00:00:00"/>
  </r>
  <r>
    <n v="18"/>
    <x v="17"/>
    <x v="1"/>
    <x v="1"/>
    <x v="4"/>
    <n v="4"/>
    <s v="ea"/>
    <n v="0"/>
    <x v="7"/>
    <n v="0"/>
    <x v="3"/>
    <n v="1"/>
    <n v="1"/>
    <x v="0"/>
    <n v="0"/>
    <x v="0"/>
    <d v="2026-01-12T00:00:00"/>
  </r>
  <r>
    <n v="19"/>
    <x v="18"/>
    <x v="1"/>
    <x v="0"/>
    <x v="9"/>
    <n v="24"/>
    <s v="ea"/>
    <n v="48"/>
    <x v="14"/>
    <n v="1"/>
    <x v="7"/>
    <n v="8"/>
    <n v="9"/>
    <x v="0"/>
    <n v="0"/>
    <x v="2"/>
    <d v="2026-01-12T00:00:00"/>
  </r>
  <r>
    <n v="20"/>
    <x v="19"/>
    <x v="1"/>
    <x v="0"/>
    <x v="10"/>
    <n v="8"/>
    <s v="ea"/>
    <n v="65"/>
    <x v="15"/>
    <n v="0"/>
    <x v="1"/>
    <n v="4"/>
    <n v="4"/>
    <x v="0"/>
    <n v="0"/>
    <x v="2"/>
    <d v="2026-01-12T00:00:00"/>
  </r>
  <r>
    <n v="21"/>
    <x v="20"/>
    <x v="1"/>
    <x v="0"/>
    <x v="6"/>
    <n v="32"/>
    <s v="ee"/>
    <n v="9.5"/>
    <x v="16"/>
    <n v="2"/>
    <x v="5"/>
    <n v="8"/>
    <n v="9"/>
    <x v="0"/>
    <n v="0"/>
    <x v="2"/>
    <d v="2026-01-12T00:00:00"/>
  </r>
  <r>
    <n v="22"/>
    <x v="21"/>
    <x v="1"/>
    <x v="1"/>
    <x v="11"/>
    <n v="2"/>
    <s v="ea"/>
    <n v="950"/>
    <x v="17"/>
    <n v="0"/>
    <x v="8"/>
    <n v="1"/>
    <n v="1"/>
    <x v="0"/>
    <n v="0"/>
    <x v="0"/>
    <d v="2026-01-12T00:00:00"/>
  </r>
  <r>
    <n v="23"/>
    <x v="22"/>
    <x v="1"/>
    <x v="1"/>
    <x v="11"/>
    <n v="2"/>
    <s v="ea"/>
    <n v="1100"/>
    <x v="18"/>
    <n v="0"/>
    <x v="8"/>
    <n v="1"/>
    <n v="1"/>
    <x v="0"/>
    <n v="0"/>
    <x v="0"/>
    <d v="2026-01-12T00:00:00"/>
  </r>
  <r>
    <n v="24"/>
    <x v="23"/>
    <x v="1"/>
    <x v="1"/>
    <x v="12"/>
    <n v="12"/>
    <s v="ea"/>
    <n v="125"/>
    <x v="1"/>
    <n v="0"/>
    <x v="0"/>
    <n v="2"/>
    <n v="2"/>
    <x v="0"/>
    <n v="0"/>
    <x v="2"/>
    <d v="2026-01-12T00:00:00"/>
  </r>
  <r>
    <n v="25"/>
    <x v="24"/>
    <x v="1"/>
    <x v="0"/>
    <x v="1"/>
    <n v="24"/>
    <s v="ea"/>
    <n v="8.5"/>
    <x v="19"/>
    <n v="2"/>
    <x v="1"/>
    <n v="1"/>
    <n v="2"/>
    <x v="0"/>
    <n v="0"/>
    <x v="1"/>
    <d v="2026-01-12T00:00:00"/>
  </r>
  <r>
    <n v="26"/>
    <x v="25"/>
    <x v="1"/>
    <x v="1"/>
    <x v="4"/>
    <n v="4"/>
    <s v="ea"/>
    <n v="0"/>
    <x v="7"/>
    <n v="0"/>
    <x v="3"/>
    <n v="1"/>
    <n v="1"/>
    <x v="0"/>
    <n v="0"/>
    <x v="0"/>
    <d v="2026-01-12T00:00:00"/>
  </r>
  <r>
    <n v="27"/>
    <x v="26"/>
    <x v="1"/>
    <x v="1"/>
    <x v="13"/>
    <n v="6"/>
    <s v="ea"/>
    <n v="185"/>
    <x v="20"/>
    <n v="0"/>
    <x v="2"/>
    <n v="1"/>
    <n v="1"/>
    <x v="0"/>
    <n v="0"/>
    <x v="2"/>
    <d v="2026-01-12T00:00:00"/>
  </r>
  <r>
    <n v="28"/>
    <x v="27"/>
    <x v="1"/>
    <x v="0"/>
    <x v="14"/>
    <n v="12"/>
    <s v="ea"/>
    <n v="55"/>
    <x v="21"/>
    <n v="1"/>
    <x v="5"/>
    <n v="4"/>
    <n v="5"/>
    <x v="0"/>
    <n v="0"/>
    <x v="2"/>
    <d v="2026-01-12T00:00:00"/>
  </r>
  <r>
    <n v="29"/>
    <x v="28"/>
    <x v="1"/>
    <x v="2"/>
    <x v="6"/>
    <n v="40"/>
    <s v="ea"/>
    <n v="1.25"/>
    <x v="22"/>
    <n v="2"/>
    <x v="5"/>
    <n v="10"/>
    <n v="11"/>
    <x v="0"/>
    <n v="0"/>
    <x v="1"/>
    <d v="2026-01-12T00:00:00"/>
  </r>
  <r>
    <n v="30"/>
    <x v="29"/>
    <x v="1"/>
    <x v="2"/>
    <x v="6"/>
    <n v="100"/>
    <s v="ea"/>
    <n v="0.85"/>
    <x v="23"/>
    <n v="2"/>
    <x v="5"/>
    <n v="10"/>
    <n v="11"/>
    <x v="0"/>
    <n v="0"/>
    <x v="1"/>
    <d v="2026-01-12T00:00:00"/>
  </r>
  <r>
    <n v="31"/>
    <x v="30"/>
    <x v="1"/>
    <x v="2"/>
    <x v="6"/>
    <n v="80"/>
    <s v="ea"/>
    <n v="2.4500000000000002"/>
    <x v="24"/>
    <n v="10"/>
    <x v="5"/>
    <n v="20"/>
    <n v="21"/>
    <x v="0"/>
    <n v="0"/>
    <x v="1"/>
    <d v="2026-01-12T00:00:00"/>
  </r>
  <r>
    <n v="32"/>
    <x v="31"/>
    <x v="1"/>
    <x v="0"/>
    <x v="15"/>
    <n v="40"/>
    <s v="ea"/>
    <n v="8.5"/>
    <x v="25"/>
    <n v="3"/>
    <x v="2"/>
    <n v="4"/>
    <n v="5"/>
    <x v="0"/>
    <n v="0"/>
    <x v="1"/>
    <d v="2026-01-12T00:00:00"/>
  </r>
  <r>
    <n v="33"/>
    <x v="32"/>
    <x v="1"/>
    <x v="0"/>
    <x v="2"/>
    <n v="8"/>
    <s v="ea"/>
    <n v="25"/>
    <x v="26"/>
    <n v="0"/>
    <x v="2"/>
    <n v="1"/>
    <n v="1"/>
    <x v="0"/>
    <n v="0"/>
    <x v="2"/>
    <d v="2026-01-12T00:00:00"/>
  </r>
  <r>
    <n v="34"/>
    <x v="33"/>
    <x v="1"/>
    <x v="0"/>
    <x v="4"/>
    <n v="4"/>
    <s v="ea"/>
    <n v="0"/>
    <x v="7"/>
    <n v="0"/>
    <x v="3"/>
    <n v="1"/>
    <n v="1"/>
    <x v="0"/>
    <n v="0"/>
    <x v="2"/>
    <d v="2026-01-12T00:00:00"/>
  </r>
  <r>
    <n v="35"/>
    <x v="34"/>
    <x v="1"/>
    <x v="1"/>
    <x v="16"/>
    <n v="2"/>
    <s v="ea"/>
    <n v="240"/>
    <x v="27"/>
    <n v="0"/>
    <x v="0"/>
    <n v="1"/>
    <n v="1"/>
    <x v="0"/>
    <n v="0"/>
    <x v="2"/>
    <d v="2026-01-12T00:00:00"/>
  </r>
  <r>
    <n v="36"/>
    <x v="35"/>
    <x v="2"/>
    <x v="1"/>
    <x v="17"/>
    <n v="8"/>
    <s v="ea"/>
    <n v="115"/>
    <x v="28"/>
    <n v="0"/>
    <x v="6"/>
    <n v="1"/>
    <n v="1"/>
    <x v="0"/>
    <n v="0"/>
    <x v="2"/>
    <d v="2026-01-12T00:00:00"/>
  </r>
  <r>
    <n v="37"/>
    <x v="36"/>
    <x v="2"/>
    <x v="1"/>
    <x v="17"/>
    <n v="6"/>
    <s v="ea"/>
    <n v="225"/>
    <x v="11"/>
    <n v="0"/>
    <x v="6"/>
    <n v="1"/>
    <n v="1"/>
    <x v="0"/>
    <n v="0"/>
    <x v="0"/>
    <d v="2026-01-12T00:00:00"/>
  </r>
  <r>
    <n v="38"/>
    <x v="37"/>
    <x v="2"/>
    <x v="1"/>
    <x v="17"/>
    <n v="12"/>
    <s v="sets"/>
    <n v="65"/>
    <x v="29"/>
    <n v="0"/>
    <x v="6"/>
    <n v="4"/>
    <n v="4"/>
    <x v="0"/>
    <n v="0"/>
    <x v="2"/>
    <d v="2026-01-12T00:00:00"/>
  </r>
  <r>
    <n v="39"/>
    <x v="38"/>
    <x v="2"/>
    <x v="0"/>
    <x v="18"/>
    <n v="3"/>
    <s v="ea"/>
    <n v="185"/>
    <x v="30"/>
    <n v="0"/>
    <x v="0"/>
    <n v="1"/>
    <n v="1"/>
    <x v="0"/>
    <n v="0"/>
    <x v="0"/>
    <d v="2026-01-12T00:00:00"/>
  </r>
  <r>
    <n v="40"/>
    <x v="39"/>
    <x v="2"/>
    <x v="0"/>
    <x v="18"/>
    <n v="2"/>
    <s v="ea"/>
    <n v="350"/>
    <x v="4"/>
    <n v="0"/>
    <x v="0"/>
    <n v="1"/>
    <n v="1"/>
    <x v="0"/>
    <n v="0"/>
    <x v="2"/>
    <d v="2026-01-12T00:00:00"/>
  </r>
  <r>
    <n v="41"/>
    <x v="40"/>
    <x v="2"/>
    <x v="0"/>
    <x v="18"/>
    <n v="2"/>
    <s v="ea"/>
    <n v="115"/>
    <x v="31"/>
    <n v="0"/>
    <x v="0"/>
    <n v="1"/>
    <n v="1"/>
    <x v="0"/>
    <n v="0"/>
    <x v="2"/>
    <d v="2026-01-12T00:00:00"/>
  </r>
  <r>
    <n v="42"/>
    <x v="41"/>
    <x v="2"/>
    <x v="2"/>
    <x v="19"/>
    <n v="40"/>
    <s v="ft"/>
    <n v="12"/>
    <x v="27"/>
    <n v="1"/>
    <x v="2"/>
    <n v="1"/>
    <n v="2"/>
    <x v="0"/>
    <n v="0"/>
    <x v="2"/>
    <d v="2026-01-12T00:00:00"/>
  </r>
  <r>
    <n v="43"/>
    <x v="42"/>
    <x v="2"/>
    <x v="2"/>
    <x v="19"/>
    <n v="30"/>
    <s v="ea"/>
    <n v="16"/>
    <x v="27"/>
    <n v="4"/>
    <x v="2"/>
    <n v="1"/>
    <n v="2"/>
    <x v="0"/>
    <n v="0"/>
    <x v="1"/>
    <d v="2026-01-12T00:00:00"/>
  </r>
  <r>
    <n v="44"/>
    <x v="43"/>
    <x v="2"/>
    <x v="4"/>
    <x v="20"/>
    <n v="6"/>
    <s v="bottles"/>
    <n v="18"/>
    <x v="32"/>
    <n v="1"/>
    <x v="5"/>
    <n v="2"/>
    <n v="3"/>
    <x v="0"/>
    <n v="0"/>
    <x v="1"/>
    <d v="2026-01-12T00:00:00"/>
  </r>
  <r>
    <n v="45"/>
    <x v="44"/>
    <x v="2"/>
    <x v="5"/>
    <x v="17"/>
    <n v="4"/>
    <s v="ea"/>
    <n v="45"/>
    <x v="13"/>
    <n v="0"/>
    <x v="2"/>
    <n v="1"/>
    <n v="1"/>
    <x v="0"/>
    <n v="0"/>
    <x v="2"/>
    <d v="2026-01-12T00:00:00"/>
  </r>
  <r>
    <n v="46"/>
    <x v="45"/>
    <x v="2"/>
    <x v="6"/>
    <x v="6"/>
    <n v="3"/>
    <s v="ea"/>
    <n v="35"/>
    <x v="33"/>
    <n v="0"/>
    <x v="1"/>
    <n v="1"/>
    <n v="1"/>
    <x v="0"/>
    <n v="0"/>
    <x v="2"/>
    <d v="2026-01-12T00:00:00"/>
  </r>
  <r>
    <n v="47"/>
    <x v="46"/>
    <x v="2"/>
    <x v="2"/>
    <x v="6"/>
    <n v="20"/>
    <s v="ii"/>
    <n v="4.5"/>
    <x v="12"/>
    <n v="2"/>
    <x v="5"/>
    <n v="4"/>
    <n v="5"/>
    <x v="0"/>
    <n v="0"/>
    <x v="1"/>
    <d v="2026-01-12T00:00:00"/>
  </r>
  <r>
    <n v="48"/>
    <x v="47"/>
    <x v="2"/>
    <x v="2"/>
    <x v="19"/>
    <n v="12"/>
    <s v="ea"/>
    <n v="9.5"/>
    <x v="34"/>
    <n v="2"/>
    <x v="2"/>
    <n v="2"/>
    <n v="3"/>
    <x v="0"/>
    <n v="0"/>
    <x v="1"/>
    <d v="2026-01-12T00:00:00"/>
  </r>
  <r>
    <n v="49"/>
    <x v="48"/>
    <x v="2"/>
    <x v="2"/>
    <x v="6"/>
    <n v="50"/>
    <s v="ea"/>
    <n v="1.25"/>
    <x v="35"/>
    <n v="4"/>
    <x v="5"/>
    <n v="10"/>
    <n v="11"/>
    <x v="0"/>
    <n v="0"/>
    <x v="1"/>
    <d v="2026-01-12T00:00:00"/>
  </r>
  <r>
    <n v="50"/>
    <x v="49"/>
    <x v="2"/>
    <x v="0"/>
    <x v="2"/>
    <n v="8"/>
    <s v="ea"/>
    <n v="45"/>
    <x v="36"/>
    <n v="1"/>
    <x v="2"/>
    <n v="1"/>
    <n v="2"/>
    <x v="0"/>
    <n v="0"/>
    <x v="1"/>
    <d v="2026-01-12T00:00:00"/>
  </r>
  <r>
    <n v="51"/>
    <x v="50"/>
    <x v="3"/>
    <x v="1"/>
    <x v="21"/>
    <n v="2"/>
    <s v="ea"/>
    <n v="450"/>
    <x v="37"/>
    <n v="0"/>
    <x v="7"/>
    <n v="1"/>
    <n v="1"/>
    <x v="0"/>
    <n v="0"/>
    <x v="0"/>
    <d v="2026-01-12T00:00:00"/>
  </r>
  <r>
    <n v="52"/>
    <x v="51"/>
    <x v="3"/>
    <x v="5"/>
    <x v="22"/>
    <n v="1"/>
    <s v="ea"/>
    <n v="240"/>
    <x v="38"/>
    <n v="0"/>
    <x v="0"/>
    <n v="1"/>
    <n v="1"/>
    <x v="1"/>
    <n v="0"/>
    <x v="2"/>
    <d v="2026-01-12T00:00:00"/>
  </r>
  <r>
    <n v="53"/>
    <x v="52"/>
    <x v="3"/>
    <x v="0"/>
    <x v="19"/>
    <n v="2"/>
    <s v="ea"/>
    <n v="125"/>
    <x v="39"/>
    <n v="0"/>
    <x v="2"/>
    <n v="1"/>
    <n v="1"/>
    <x v="0"/>
    <n v="0"/>
    <x v="2"/>
    <d v="2026-01-12T00:00:00"/>
  </r>
  <r>
    <n v="54"/>
    <x v="53"/>
    <x v="3"/>
    <x v="0"/>
    <x v="3"/>
    <n v="6"/>
    <s v="ft"/>
    <n v="35"/>
    <x v="40"/>
    <n v="0"/>
    <x v="2"/>
    <n v="1"/>
    <n v="1"/>
    <x v="0"/>
    <n v="0"/>
    <x v="2"/>
    <d v="2026-01-12T00:00:00"/>
  </r>
  <r>
    <n v="55"/>
    <x v="54"/>
    <x v="3"/>
    <x v="0"/>
    <x v="6"/>
    <n v="4"/>
    <s v="ea"/>
    <n v="95"/>
    <x v="8"/>
    <n v="0"/>
    <x v="1"/>
    <n v="1"/>
    <n v="1"/>
    <x v="0"/>
    <n v="0"/>
    <x v="2"/>
    <d v="2026-01-12T00:00:00"/>
  </r>
  <r>
    <n v="56"/>
    <x v="55"/>
    <x v="3"/>
    <x v="0"/>
    <x v="4"/>
    <n v="4"/>
    <s v="ea"/>
    <n v="0"/>
    <x v="7"/>
    <n v="0"/>
    <x v="3"/>
    <n v="1"/>
    <n v="1"/>
    <x v="0"/>
    <n v="0"/>
    <x v="2"/>
    <d v="2026-01-12T00:00:00"/>
  </r>
  <r>
    <n v="57"/>
    <x v="56"/>
    <x v="3"/>
    <x v="0"/>
    <x v="23"/>
    <n v="8"/>
    <s v="ea"/>
    <n v="38"/>
    <x v="16"/>
    <n v="0"/>
    <x v="7"/>
    <n v="2"/>
    <n v="2"/>
    <x v="0"/>
    <n v="0"/>
    <x v="2"/>
    <d v="2026-01-12T00:00:00"/>
  </r>
  <r>
    <n v="58"/>
    <x v="57"/>
    <x v="3"/>
    <x v="0"/>
    <x v="6"/>
    <n v="4"/>
    <s v="ea"/>
    <n v="22"/>
    <x v="41"/>
    <n v="0"/>
    <x v="1"/>
    <n v="1"/>
    <n v="1"/>
    <x v="0"/>
    <n v="0"/>
    <x v="1"/>
    <d v="2026-01-12T00:00:00"/>
  </r>
  <r>
    <n v="59"/>
    <x v="58"/>
    <x v="3"/>
    <x v="0"/>
    <x v="4"/>
    <n v="4"/>
    <s v="ea"/>
    <n v="0"/>
    <x v="7"/>
    <n v="0"/>
    <x v="3"/>
    <n v="1"/>
    <n v="1"/>
    <x v="0"/>
    <n v="0"/>
    <x v="1"/>
    <d v="2026-01-12T00:00:00"/>
  </r>
  <r>
    <n v="60"/>
    <x v="59"/>
    <x v="3"/>
    <x v="0"/>
    <x v="6"/>
    <n v="4"/>
    <s v="ea"/>
    <n v="28"/>
    <x v="42"/>
    <n v="0"/>
    <x v="1"/>
    <n v="1"/>
    <n v="1"/>
    <x v="0"/>
    <n v="0"/>
    <x v="2"/>
    <d v="2026-01-12T00:00:00"/>
  </r>
  <r>
    <n v="61"/>
    <x v="60"/>
    <x v="3"/>
    <x v="0"/>
    <x v="6"/>
    <n v="2"/>
    <s v="ea"/>
    <n v="45"/>
    <x v="12"/>
    <n v="0"/>
    <x v="1"/>
    <n v="1"/>
    <n v="1"/>
    <x v="0"/>
    <n v="0"/>
    <x v="1"/>
    <d v="2026-01-12T00:00:00"/>
  </r>
  <r>
    <n v="62"/>
    <x v="61"/>
    <x v="3"/>
    <x v="0"/>
    <x v="6"/>
    <n v="2"/>
    <s v="ea"/>
    <n v="65"/>
    <x v="43"/>
    <n v="0"/>
    <x v="1"/>
    <n v="1"/>
    <n v="1"/>
    <x v="0"/>
    <n v="0"/>
    <x v="1"/>
    <d v="2026-01-12T00:00:00"/>
  </r>
  <r>
    <n v="63"/>
    <x v="62"/>
    <x v="3"/>
    <x v="2"/>
    <x v="6"/>
    <n v="100"/>
    <s v="ea"/>
    <n v="0.45"/>
    <x v="44"/>
    <n v="0"/>
    <x v="5"/>
    <n v="10"/>
    <n v="10"/>
    <x v="0"/>
    <n v="0"/>
    <x v="1"/>
    <d v="2026-01-12T00:00:00"/>
  </r>
  <r>
    <n v="64"/>
    <x v="63"/>
    <x v="3"/>
    <x v="2"/>
    <x v="6"/>
    <n v="200"/>
    <s v="ea"/>
    <n v="0.65"/>
    <x v="43"/>
    <n v="5"/>
    <x v="5"/>
    <n v="20"/>
    <n v="21"/>
    <x v="0"/>
    <n v="0"/>
    <x v="1"/>
    <d v="2026-01-12T00:00:00"/>
  </r>
  <r>
    <n v="65"/>
    <x v="64"/>
    <x v="3"/>
    <x v="0"/>
    <x v="8"/>
    <n v="2"/>
    <s v="ea"/>
    <n v="35"/>
    <x v="45"/>
    <n v="10"/>
    <x v="4"/>
    <n v="1"/>
    <n v="3"/>
    <x v="1"/>
    <n v="9"/>
    <x v="1"/>
    <d v="2026-01-12T00:00:00"/>
  </r>
  <r>
    <n v="66"/>
    <x v="65"/>
    <x v="4"/>
    <x v="1"/>
    <x v="24"/>
    <n v="2"/>
    <s v="ea"/>
    <n v="750"/>
    <x v="1"/>
    <n v="0"/>
    <x v="7"/>
    <n v="1"/>
    <n v="1"/>
    <x v="0"/>
    <n v="0"/>
    <x v="0"/>
    <d v="2026-01-12T00:00:00"/>
  </r>
  <r>
    <n v="67"/>
    <x v="66"/>
    <x v="4"/>
    <x v="1"/>
    <x v="25"/>
    <n v="2"/>
    <s v="ea"/>
    <n v="650"/>
    <x v="46"/>
    <n v="0"/>
    <x v="7"/>
    <n v="1"/>
    <n v="1"/>
    <x v="0"/>
    <n v="0"/>
    <x v="0"/>
    <d v="2026-01-12T00:00:00"/>
  </r>
  <r>
    <n v="68"/>
    <x v="67"/>
    <x v="4"/>
    <x v="1"/>
    <x v="25"/>
    <n v="2"/>
    <s v="ea"/>
    <n v="550"/>
    <x v="47"/>
    <n v="0"/>
    <x v="7"/>
    <n v="1"/>
    <n v="1"/>
    <x v="0"/>
    <n v="0"/>
    <x v="0"/>
    <d v="2026-01-12T00:00:00"/>
  </r>
  <r>
    <n v="69"/>
    <x v="68"/>
    <x v="4"/>
    <x v="1"/>
    <x v="25"/>
    <n v="10"/>
    <s v="ea"/>
    <n v="115"/>
    <x v="48"/>
    <n v="0"/>
    <x v="2"/>
    <n v="4"/>
    <n v="4"/>
    <x v="0"/>
    <n v="0"/>
    <x v="2"/>
    <d v="2026-01-12T00:00:00"/>
  </r>
  <r>
    <n v="70"/>
    <x v="69"/>
    <x v="4"/>
    <x v="1"/>
    <x v="26"/>
    <n v="2"/>
    <s v="ea"/>
    <n v="0"/>
    <x v="7"/>
    <n v="0"/>
    <x v="3"/>
    <n v="1"/>
    <n v="1"/>
    <x v="0"/>
    <n v="0"/>
    <x v="0"/>
    <d v="2026-01-12T00:00:00"/>
  </r>
  <r>
    <n v="71"/>
    <x v="70"/>
    <x v="4"/>
    <x v="1"/>
    <x v="27"/>
    <n v="2"/>
    <s v="ea"/>
    <n v="850"/>
    <x v="49"/>
    <n v="0"/>
    <x v="8"/>
    <n v="1"/>
    <n v="1"/>
    <x v="0"/>
    <n v="0"/>
    <x v="0"/>
    <d v="2026-01-12T00:00:00"/>
  </r>
  <r>
    <n v="72"/>
    <x v="71"/>
    <x v="4"/>
    <x v="1"/>
    <x v="28"/>
    <n v="4"/>
    <s v="ea"/>
    <n v="450"/>
    <x v="50"/>
    <n v="0"/>
    <x v="9"/>
    <n v="1"/>
    <n v="1"/>
    <x v="0"/>
    <n v="0"/>
    <x v="0"/>
    <d v="2026-01-12T00:00:00"/>
  </r>
  <r>
    <n v="73"/>
    <x v="72"/>
    <x v="4"/>
    <x v="1"/>
    <x v="29"/>
    <n v="8"/>
    <s v="ea"/>
    <n v="185"/>
    <x v="51"/>
    <n v="0"/>
    <x v="0"/>
    <n v="4"/>
    <n v="4"/>
    <x v="0"/>
    <n v="0"/>
    <x v="2"/>
    <d v="2026-01-12T00:00:00"/>
  </r>
  <r>
    <n v="74"/>
    <x v="73"/>
    <x v="4"/>
    <x v="1"/>
    <x v="6"/>
    <n v="6"/>
    <s v="ea"/>
    <n v="65"/>
    <x v="52"/>
    <n v="0"/>
    <x v="0"/>
    <n v="1"/>
    <n v="1"/>
    <x v="0"/>
    <n v="0"/>
    <x v="2"/>
    <d v="2026-01-12T00:00:00"/>
  </r>
  <r>
    <n v="75"/>
    <x v="74"/>
    <x v="4"/>
    <x v="1"/>
    <x v="6"/>
    <n v="20"/>
    <s v="ee"/>
    <n v="14"/>
    <x v="53"/>
    <n v="0"/>
    <x v="1"/>
    <n v="2"/>
    <n v="2"/>
    <x v="0"/>
    <n v="0"/>
    <x v="2"/>
    <d v="2026-01-12T00:00:00"/>
  </r>
  <r>
    <n v="76"/>
    <x v="75"/>
    <x v="4"/>
    <x v="1"/>
    <x v="6"/>
    <n v="2"/>
    <s v="ea"/>
    <n v="75"/>
    <x v="54"/>
    <n v="0"/>
    <x v="2"/>
    <n v="1"/>
    <n v="1"/>
    <x v="0"/>
    <n v="0"/>
    <x v="2"/>
    <d v="2026-01-12T00:00:00"/>
  </r>
  <r>
    <n v="77"/>
    <x v="76"/>
    <x v="4"/>
    <x v="1"/>
    <x v="6"/>
    <n v="4"/>
    <s v="ea"/>
    <n v="25"/>
    <x v="55"/>
    <n v="0"/>
    <x v="1"/>
    <n v="1"/>
    <n v="1"/>
    <x v="0"/>
    <n v="0"/>
    <x v="2"/>
    <d v="2026-01-12T00:00:00"/>
  </r>
  <r>
    <n v="78"/>
    <x v="77"/>
    <x v="4"/>
    <x v="6"/>
    <x v="30"/>
    <n v="1"/>
    <s v="ea"/>
    <n v="650"/>
    <x v="56"/>
    <n v="1"/>
    <x v="9"/>
    <n v="1"/>
    <n v="2"/>
    <x v="1"/>
    <n v="1"/>
    <x v="0"/>
    <d v="2026-01-12T00:00:00"/>
  </r>
  <r>
    <n v="79"/>
    <x v="78"/>
    <x v="4"/>
    <x v="1"/>
    <x v="20"/>
    <n v="20"/>
    <s v="ft"/>
    <n v="6.5"/>
    <x v="43"/>
    <n v="0"/>
    <x v="5"/>
    <n v="1"/>
    <n v="1"/>
    <x v="0"/>
    <n v="0"/>
    <x v="1"/>
    <d v="2026-01-12T00:00:00"/>
  </r>
  <r>
    <n v="80"/>
    <x v="79"/>
    <x v="4"/>
    <x v="4"/>
    <x v="20"/>
    <n v="6"/>
    <s v="ea"/>
    <n v="15"/>
    <x v="12"/>
    <n v="2"/>
    <x v="5"/>
    <n v="3"/>
    <n v="4"/>
    <x v="0"/>
    <n v="0"/>
    <x v="1"/>
    <d v="2026-01-12T00:00:00"/>
  </r>
  <r>
    <n v="81"/>
    <x v="80"/>
    <x v="4"/>
    <x v="4"/>
    <x v="31"/>
    <n v="4"/>
    <s v="ea"/>
    <n v="45"/>
    <x v="13"/>
    <n v="1"/>
    <x v="0"/>
    <n v="2"/>
    <n v="3"/>
    <x v="0"/>
    <n v="0"/>
    <x v="2"/>
    <d v="2026-01-12T00:00:00"/>
  </r>
  <r>
    <n v="82"/>
    <x v="81"/>
    <x v="4"/>
    <x v="0"/>
    <x v="4"/>
    <n v="2"/>
    <s v="ea"/>
    <n v="0"/>
    <x v="7"/>
    <n v="0"/>
    <x v="3"/>
    <n v="1"/>
    <n v="1"/>
    <x v="0"/>
    <n v="0"/>
    <x v="2"/>
    <d v="2026-01-12T00:00:00"/>
  </r>
  <r>
    <n v="83"/>
    <x v="82"/>
    <x v="4"/>
    <x v="1"/>
    <x v="24"/>
    <n v="3"/>
    <s v="ea"/>
    <n v="145"/>
    <x v="57"/>
    <n v="0"/>
    <x v="0"/>
    <n v="1"/>
    <n v="1"/>
    <x v="0"/>
    <n v="0"/>
    <x v="2"/>
    <d v="2026-01-12T00:00:00"/>
  </r>
  <r>
    <n v="84"/>
    <x v="83"/>
    <x v="4"/>
    <x v="1"/>
    <x v="32"/>
    <n v="1"/>
    <s v="ea"/>
    <n v="350"/>
    <x v="58"/>
    <n v="0"/>
    <x v="7"/>
    <n v="1"/>
    <n v="1"/>
    <x v="1"/>
    <n v="0"/>
    <x v="2"/>
    <d v="2026-01-12T00:00:00"/>
  </r>
  <r>
    <n v="85"/>
    <x v="84"/>
    <x v="4"/>
    <x v="1"/>
    <x v="33"/>
    <n v="2"/>
    <s v="ea"/>
    <n v="125"/>
    <x v="39"/>
    <n v="0"/>
    <x v="2"/>
    <n v="1"/>
    <n v="1"/>
    <x v="0"/>
    <n v="0"/>
    <x v="2"/>
    <d v="2026-01-12T00:00:00"/>
  </r>
  <r>
    <n v="86"/>
    <x v="85"/>
    <x v="5"/>
    <x v="1"/>
    <x v="34"/>
    <n v="1"/>
    <s v="ea"/>
    <n v="450"/>
    <x v="59"/>
    <n v="0"/>
    <x v="6"/>
    <n v="1"/>
    <n v="1"/>
    <x v="1"/>
    <n v="0"/>
    <x v="0"/>
    <d v="2026-01-12T00:00:00"/>
  </r>
  <r>
    <n v="87"/>
    <x v="86"/>
    <x v="5"/>
    <x v="5"/>
    <x v="35"/>
    <n v="2"/>
    <s v="ea"/>
    <n v="285"/>
    <x v="60"/>
    <n v="0"/>
    <x v="0"/>
    <n v="1"/>
    <n v="1"/>
    <x v="0"/>
    <n v="0"/>
    <x v="0"/>
    <d v="2026-01-12T00:00:00"/>
  </r>
  <r>
    <n v="88"/>
    <x v="87"/>
    <x v="5"/>
    <x v="5"/>
    <x v="36"/>
    <n v="4"/>
    <s v="Sheet"/>
    <n v="120"/>
    <x v="27"/>
    <n v="0"/>
    <x v="4"/>
    <n v="1"/>
    <n v="1"/>
    <x v="0"/>
    <n v="0"/>
    <x v="2"/>
    <d v="2026-01-12T00:00:00"/>
  </r>
  <r>
    <n v="89"/>
    <x v="88"/>
    <x v="5"/>
    <x v="5"/>
    <x v="2"/>
    <n v="2"/>
    <s v="ea"/>
    <n v="115"/>
    <x v="31"/>
    <n v="0"/>
    <x v="2"/>
    <n v="1"/>
    <n v="1"/>
    <x v="0"/>
    <n v="0"/>
    <x v="2"/>
    <d v="2026-01-12T00:00:00"/>
  </r>
  <r>
    <n v="90"/>
    <x v="89"/>
    <x v="5"/>
    <x v="5"/>
    <x v="37"/>
    <n v="1"/>
    <s v="ea"/>
    <n v="450"/>
    <x v="59"/>
    <n v="0"/>
    <x v="6"/>
    <n v="1"/>
    <n v="1"/>
    <x v="1"/>
    <n v="0"/>
    <x v="0"/>
    <d v="2026-01-12T00:00:00"/>
  </r>
  <r>
    <n v="91"/>
    <x v="90"/>
    <x v="5"/>
    <x v="6"/>
    <x v="38"/>
    <n v="2"/>
    <s v="ea"/>
    <n v="85"/>
    <x v="61"/>
    <n v="0"/>
    <x v="1"/>
    <n v="1"/>
    <n v="1"/>
    <x v="0"/>
    <n v="0"/>
    <x v="0"/>
    <d v="2026-01-12T00:00:00"/>
  </r>
  <r>
    <n v="92"/>
    <x v="91"/>
    <x v="5"/>
    <x v="5"/>
    <x v="6"/>
    <n v="10"/>
    <s v="ea"/>
    <n v="35"/>
    <x v="58"/>
    <n v="0"/>
    <x v="1"/>
    <n v="1"/>
    <n v="1"/>
    <x v="0"/>
    <n v="0"/>
    <x v="1"/>
    <d v="2026-01-12T00:00:00"/>
  </r>
  <r>
    <n v="93"/>
    <x v="92"/>
    <x v="5"/>
    <x v="0"/>
    <x v="39"/>
    <n v="1"/>
    <s v="ea"/>
    <n v="165"/>
    <x v="62"/>
    <n v="0"/>
    <x v="2"/>
    <n v="1"/>
    <n v="1"/>
    <x v="1"/>
    <n v="0"/>
    <x v="2"/>
    <d v="2026-01-12T00:00:00"/>
  </r>
  <r>
    <n v="94"/>
    <x v="93"/>
    <x v="5"/>
    <x v="0"/>
    <x v="35"/>
    <n v="2"/>
    <s v="ea"/>
    <n v="95"/>
    <x v="63"/>
    <n v="0"/>
    <x v="2"/>
    <n v="1"/>
    <n v="1"/>
    <x v="0"/>
    <n v="0"/>
    <x v="2"/>
    <d v="2026-01-12T00:00:00"/>
  </r>
  <r>
    <n v="95"/>
    <x v="94"/>
    <x v="5"/>
    <x v="5"/>
    <x v="35"/>
    <n v="2"/>
    <s v="sets"/>
    <n v="55"/>
    <x v="64"/>
    <n v="0"/>
    <x v="2"/>
    <n v="1"/>
    <n v="1"/>
    <x v="0"/>
    <n v="0"/>
    <x v="2"/>
    <d v="2026-01-12T00:00:00"/>
  </r>
  <r>
    <n v="96"/>
    <x v="95"/>
    <x v="6"/>
    <x v="5"/>
    <x v="40"/>
    <n v="4"/>
    <s v="ea"/>
    <n v="45"/>
    <x v="13"/>
    <n v="0"/>
    <x v="4"/>
    <n v="1"/>
    <n v="1"/>
    <x v="0"/>
    <n v="0"/>
    <x v="2"/>
    <d v="2026-01-12T00:00:00"/>
  </r>
  <r>
    <n v="97"/>
    <x v="96"/>
    <x v="6"/>
    <x v="6"/>
    <x v="41"/>
    <n v="2"/>
    <s v="ea"/>
    <n v="95"/>
    <x v="63"/>
    <n v="0"/>
    <x v="4"/>
    <n v="1"/>
    <n v="1"/>
    <x v="0"/>
    <n v="0"/>
    <x v="2"/>
    <d v="2026-01-12T00:00:00"/>
  </r>
  <r>
    <n v="98"/>
    <x v="97"/>
    <x v="6"/>
    <x v="6"/>
    <x v="42"/>
    <n v="3"/>
    <s v="ea"/>
    <n v="115"/>
    <x v="65"/>
    <n v="0"/>
    <x v="0"/>
    <n v="1"/>
    <n v="1"/>
    <x v="0"/>
    <n v="0"/>
    <x v="2"/>
    <d v="2026-01-12T00:00:00"/>
  </r>
  <r>
    <n v="99"/>
    <x v="98"/>
    <x v="6"/>
    <x v="6"/>
    <x v="40"/>
    <n v="2"/>
    <s v="ea"/>
    <n v="85"/>
    <x v="61"/>
    <n v="0"/>
    <x v="0"/>
    <n v="1"/>
    <n v="1"/>
    <x v="0"/>
    <n v="0"/>
    <x v="2"/>
    <d v="2026-01-12T00:00:00"/>
  </r>
  <r>
    <n v="100"/>
    <x v="99"/>
    <x v="6"/>
    <x v="6"/>
    <x v="43"/>
    <n v="3"/>
    <s v="ea"/>
    <n v="65"/>
    <x v="6"/>
    <n v="0"/>
    <x v="0"/>
    <n v="1"/>
    <n v="1"/>
    <x v="0"/>
    <n v="0"/>
    <x v="2"/>
    <d v="2026-01-12T00:00:00"/>
  </r>
  <r>
    <n v="101"/>
    <x v="100"/>
    <x v="6"/>
    <x v="6"/>
    <x v="43"/>
    <n v="6"/>
    <s v="ea"/>
    <n v="115"/>
    <x v="66"/>
    <n v="0"/>
    <x v="0"/>
    <n v="1"/>
    <n v="1"/>
    <x v="0"/>
    <n v="0"/>
    <x v="2"/>
    <d v="2026-01-12T00:00:00"/>
  </r>
  <r>
    <n v="102"/>
    <x v="101"/>
    <x v="6"/>
    <x v="6"/>
    <x v="43"/>
    <n v="6"/>
    <s v="ea"/>
    <n v="45"/>
    <x v="67"/>
    <n v="2"/>
    <x v="0"/>
    <n v="1"/>
    <n v="2"/>
    <x v="0"/>
    <n v="0"/>
    <x v="2"/>
    <d v="2026-01-12T00:00:00"/>
  </r>
  <r>
    <n v="103"/>
    <x v="102"/>
    <x v="6"/>
    <x v="6"/>
    <x v="43"/>
    <n v="4"/>
    <s v="ea"/>
    <n v="185"/>
    <x v="68"/>
    <n v="5"/>
    <x v="0"/>
    <n v="1"/>
    <n v="3"/>
    <x v="0"/>
    <n v="0"/>
    <x v="2"/>
    <d v="2026-01-12T00:00:00"/>
  </r>
  <r>
    <n v="104"/>
    <x v="103"/>
    <x v="6"/>
    <x v="6"/>
    <x v="6"/>
    <n v="250"/>
    <s v="ft"/>
    <n v="1.25"/>
    <x v="69"/>
    <n v="5"/>
    <x v="2"/>
    <n v="1"/>
    <n v="2"/>
    <x v="0"/>
    <n v="0"/>
    <x v="2"/>
    <d v="2026-01-12T00:00:00"/>
  </r>
  <r>
    <n v="105"/>
    <x v="104"/>
    <x v="6"/>
    <x v="6"/>
    <x v="8"/>
    <n v="3"/>
    <s v="kit"/>
    <n v="25"/>
    <x v="70"/>
    <n v="2"/>
    <x v="1"/>
    <n v="1"/>
    <n v="2"/>
    <x v="0"/>
    <n v="0"/>
    <x v="1"/>
    <d v="2026-01-12T00:00:00"/>
  </r>
  <r>
    <n v="106"/>
    <x v="105"/>
    <x v="6"/>
    <x v="6"/>
    <x v="6"/>
    <n v="500"/>
    <s v="ea"/>
    <n v="0.45"/>
    <x v="5"/>
    <n v="0"/>
    <x v="5"/>
    <n v="50"/>
    <n v="50"/>
    <x v="0"/>
    <n v="0"/>
    <x v="1"/>
    <d v="2026-01-12T00:00:00"/>
  </r>
  <r>
    <n v="107"/>
    <x v="106"/>
    <x v="7"/>
    <x v="6"/>
    <x v="44"/>
    <n v="2"/>
    <s v="ea"/>
    <n v="85"/>
    <x v="61"/>
    <n v="0"/>
    <x v="1"/>
    <n v="1"/>
    <n v="1"/>
    <x v="0"/>
    <n v="0"/>
    <x v="2"/>
    <d v="2026-01-12T00:00:00"/>
  </r>
  <r>
    <n v="108"/>
    <x v="107"/>
    <x v="7"/>
    <x v="6"/>
    <x v="45"/>
    <n v="3"/>
    <s v="ea"/>
    <n v="225"/>
    <x v="71"/>
    <n v="0"/>
    <x v="2"/>
    <n v="1"/>
    <n v="1"/>
    <x v="0"/>
    <n v="0"/>
    <x v="2"/>
    <d v="2026-01-12T00:00:00"/>
  </r>
  <r>
    <n v="109"/>
    <x v="108"/>
    <x v="7"/>
    <x v="6"/>
    <x v="43"/>
    <n v="3"/>
    <s v="ea"/>
    <n v="45"/>
    <x v="72"/>
    <n v="0"/>
    <x v="0"/>
    <n v="1"/>
    <n v="1"/>
    <x v="0"/>
    <n v="0"/>
    <x v="2"/>
    <d v="2026-01-12T00:00:00"/>
  </r>
  <r>
    <n v="110"/>
    <x v="109"/>
    <x v="7"/>
    <x v="6"/>
    <x v="40"/>
    <n v="4"/>
    <s v="ea"/>
    <n v="15"/>
    <x v="73"/>
    <n v="2"/>
    <x v="2"/>
    <n v="1"/>
    <n v="2"/>
    <x v="0"/>
    <n v="0"/>
    <x v="1"/>
    <d v="2026-01-12T00:00:00"/>
  </r>
  <r>
    <n v="111"/>
    <x v="110"/>
    <x v="7"/>
    <x v="6"/>
    <x v="3"/>
    <n v="4"/>
    <s v="Blocks"/>
    <n v="145"/>
    <x v="74"/>
    <n v="5"/>
    <x v="2"/>
    <n v="1"/>
    <n v="2"/>
    <x v="0"/>
    <n v="0"/>
    <x v="2"/>
    <d v="2026-01-12T00:00:00"/>
  </r>
  <r>
    <n v="112"/>
    <x v="111"/>
    <x v="7"/>
    <x v="6"/>
    <x v="3"/>
    <n v="6"/>
    <s v="bars"/>
    <n v="85"/>
    <x v="75"/>
    <n v="10"/>
    <x v="2"/>
    <n v="1"/>
    <n v="3"/>
    <x v="0"/>
    <n v="0"/>
    <x v="2"/>
    <d v="2026-01-12T00:00:00"/>
  </r>
  <r>
    <n v="113"/>
    <x v="112"/>
    <x v="7"/>
    <x v="6"/>
    <x v="46"/>
    <n v="2"/>
    <s v="pack "/>
    <n v="125"/>
    <x v="39"/>
    <n v="4"/>
    <x v="2"/>
    <n v="5"/>
    <n v="6"/>
    <x v="1"/>
    <n v="7"/>
    <x v="1"/>
    <d v="2026-01-12T00:00:00"/>
  </r>
  <r>
    <n v="114"/>
    <x v="113"/>
    <x v="7"/>
    <x v="6"/>
    <x v="47"/>
    <n v="10"/>
    <s v="ea"/>
    <n v="65"/>
    <x v="56"/>
    <n v="1"/>
    <x v="2"/>
    <n v="5"/>
    <n v="6"/>
    <x v="0"/>
    <n v="0"/>
    <x v="1"/>
    <d v="2026-01-12T00:00:00"/>
  </r>
  <r>
    <n v="115"/>
    <x v="114"/>
    <x v="7"/>
    <x v="3"/>
    <x v="6"/>
    <n v="2"/>
    <s v="set"/>
    <n v="185"/>
    <x v="76"/>
    <n v="5"/>
    <x v="5"/>
    <n v="5"/>
    <n v="6"/>
    <x v="1"/>
    <n v="8"/>
    <x v="1"/>
    <d v="2026-01-12T00:00:00"/>
  </r>
  <r>
    <n v="116"/>
    <x v="115"/>
    <x v="7"/>
    <x v="3"/>
    <x v="6"/>
    <n v="1"/>
    <s v="set"/>
    <n v="225"/>
    <x v="5"/>
    <n v="2"/>
    <x v="5"/>
    <n v="1"/>
    <n v="2"/>
    <x v="1"/>
    <n v="2"/>
    <x v="1"/>
    <d v="2026-01-12T00:00:00"/>
  </r>
  <r>
    <n v="117"/>
    <x v="116"/>
    <x v="8"/>
    <x v="3"/>
    <x v="6"/>
    <n v="1"/>
    <s v="set"/>
    <n v="350"/>
    <x v="58"/>
    <n v="1"/>
    <x v="5"/>
    <n v="1"/>
    <n v="2"/>
    <x v="1"/>
    <n v="1"/>
    <x v="1"/>
    <d v="2026-01-12T00:00:00"/>
  </r>
  <r>
    <n v="118"/>
    <x v="117"/>
    <x v="8"/>
    <x v="3"/>
    <x v="47"/>
    <n v="5"/>
    <s v="gal"/>
    <n v="55"/>
    <x v="77"/>
    <n v="1"/>
    <x v="1"/>
    <n v="1"/>
    <n v="2"/>
    <x v="0"/>
    <n v="0"/>
    <x v="1"/>
    <d v="2026-01-12T00:00:00"/>
  </r>
  <r>
    <n v="119"/>
    <x v="118"/>
    <x v="8"/>
    <x v="3"/>
    <x v="48"/>
    <n v="2"/>
    <s v="ea"/>
    <n v="185"/>
    <x v="76"/>
    <n v="0"/>
    <x v="2"/>
    <n v="1"/>
    <n v="1"/>
    <x v="0"/>
    <n v="0"/>
    <x v="2"/>
    <d v="2026-01-12T00:00:00"/>
  </r>
  <r>
    <n v="120"/>
    <x v="119"/>
    <x v="8"/>
    <x v="2"/>
    <x v="48"/>
    <n v="2"/>
    <s v="ea"/>
    <n v="215"/>
    <x v="78"/>
    <n v="0"/>
    <x v="2"/>
    <n v="1"/>
    <n v="1"/>
    <x v="0"/>
    <n v="0"/>
    <x v="2"/>
    <d v="2026-01-12T00:00:00"/>
  </r>
  <r>
    <n v="121"/>
    <x v="120"/>
    <x v="8"/>
    <x v="4"/>
    <x v="6"/>
    <n v="500"/>
    <s v="ea"/>
    <n v="0.85"/>
    <x v="79"/>
    <n v="0"/>
    <x v="5"/>
    <n v="100"/>
    <n v="100"/>
    <x v="0"/>
    <n v="0"/>
    <x v="1"/>
    <d v="2026-01-12T00:00:00"/>
  </r>
  <r>
    <n v="122"/>
    <x v="121"/>
    <x v="8"/>
    <x v="5"/>
    <x v="6"/>
    <n v="500"/>
    <s v="ea"/>
    <n v="0.45"/>
    <x v="5"/>
    <n v="5"/>
    <x v="5"/>
    <n v="100"/>
    <n v="101"/>
    <x v="0"/>
    <n v="0"/>
    <x v="1"/>
    <d v="2026-01-12T00:00:00"/>
  </r>
  <r>
    <n v="123"/>
    <x v="122"/>
    <x v="8"/>
    <x v="5"/>
    <x v="6"/>
    <n v="1000"/>
    <s v="ea"/>
    <n v="0.25"/>
    <x v="39"/>
    <n v="5"/>
    <x v="5"/>
    <n v="150"/>
    <n v="151"/>
    <x v="0"/>
    <n v="0"/>
    <x v="1"/>
    <d v="2026-01-12T00:00:00"/>
  </r>
  <r>
    <n v="124"/>
    <x v="123"/>
    <x v="8"/>
    <x v="2"/>
    <x v="6"/>
    <n v="200"/>
    <s v="ea"/>
    <n v="0.15"/>
    <x v="80"/>
    <n v="0"/>
    <x v="5"/>
    <n v="40"/>
    <n v="40"/>
    <x v="0"/>
    <n v="0"/>
    <x v="1"/>
    <d v="2026-01-12T00:00:00"/>
  </r>
  <r>
    <n v="125"/>
    <x v="124"/>
    <x v="8"/>
    <x v="2"/>
    <x v="49"/>
    <n v="5"/>
    <s v="bottles"/>
    <n v="22"/>
    <x v="64"/>
    <n v="0"/>
    <x v="5"/>
    <n v="1"/>
    <n v="1"/>
    <x v="0"/>
    <n v="0"/>
    <x v="1"/>
    <d v="2026-01-12T00:00:00"/>
  </r>
  <r>
    <n v="126"/>
    <x v="125"/>
    <x v="8"/>
    <x v="2"/>
    <x v="50"/>
    <n v="2"/>
    <s v="pack "/>
    <n v="45"/>
    <x v="12"/>
    <n v="0"/>
    <x v="5"/>
    <n v="3"/>
    <n v="3"/>
    <x v="1"/>
    <n v="1"/>
    <x v="1"/>
    <d v="2026-01-12T00:00:00"/>
  </r>
  <r>
    <n v="127"/>
    <x v="126"/>
    <x v="8"/>
    <x v="2"/>
    <x v="51"/>
    <n v="10"/>
    <s v="rolls"/>
    <n v="8.5"/>
    <x v="23"/>
    <n v="0"/>
    <x v="5"/>
    <n v="3"/>
    <n v="3"/>
    <x v="0"/>
    <n v="0"/>
    <x v="1"/>
    <d v="2026-01-12T00:00:00"/>
  </r>
  <r>
    <n v="128"/>
    <x v="127"/>
    <x v="8"/>
    <x v="6"/>
    <x v="6"/>
    <n v="40"/>
    <s v="  ea"/>
    <n v="4.5"/>
    <x v="13"/>
    <n v="0"/>
    <x v="5"/>
    <n v="10"/>
    <n v="10"/>
    <x v="0"/>
    <n v="0"/>
    <x v="1"/>
    <d v="2026-01-12T00:00:00"/>
  </r>
  <r>
    <n v="129"/>
    <x v="128"/>
    <x v="8"/>
    <x v="6"/>
    <x v="6"/>
    <n v="100"/>
    <s v="ea"/>
    <n v="0.85"/>
    <x v="23"/>
    <n v="20"/>
    <x v="5"/>
    <n v="20"/>
    <n v="22"/>
    <x v="0"/>
    <n v="0"/>
    <x v="1"/>
    <d v="2026-01-12T00:00:00"/>
  </r>
  <r>
    <n v="130"/>
    <x v="129"/>
    <x v="8"/>
    <x v="2"/>
    <x v="6"/>
    <n v="50"/>
    <s v="ea"/>
    <n v="1.25"/>
    <x v="35"/>
    <n v="30"/>
    <x v="5"/>
    <n v="10"/>
    <n v="12"/>
    <x v="0"/>
    <n v="0"/>
    <x v="1"/>
    <d v="2026-01-12T00:00:00"/>
  </r>
  <r>
    <n v="131"/>
    <x v="130"/>
    <x v="8"/>
    <x v="2"/>
    <x v="6"/>
    <n v="50"/>
    <s v="ea"/>
    <n v="2.4500000000000002"/>
    <x v="81"/>
    <n v="5"/>
    <x v="5"/>
    <n v="15"/>
    <n v="16"/>
    <x v="0"/>
    <n v="0"/>
    <x v="1"/>
    <d v="2026-01-12T00:00:00"/>
  </r>
  <r>
    <n v="132"/>
    <x v="131"/>
    <x v="8"/>
    <x v="5"/>
    <x v="52"/>
    <n v="4"/>
    <s v="tubes"/>
    <n v="12"/>
    <x v="82"/>
    <n v="1"/>
    <x v="5"/>
    <n v="1"/>
    <n v="2"/>
    <x v="0"/>
    <n v="0"/>
    <x v="1"/>
    <d v="2026-01-12T00:00:00"/>
  </r>
  <r>
    <n v="133"/>
    <x v="132"/>
    <x v="8"/>
    <x v="4"/>
    <x v="52"/>
    <n v="2"/>
    <s v="jar"/>
    <n v="18"/>
    <x v="83"/>
    <n v="15"/>
    <x v="5"/>
    <n v="1"/>
    <n v="2"/>
    <x v="1"/>
    <n v="14"/>
    <x v="1"/>
    <d v="2026-01-12T00:00:00"/>
  </r>
  <r>
    <n v="134"/>
    <x v="133"/>
    <x v="8"/>
    <x v="4"/>
    <x v="49"/>
    <n v="4"/>
    <s v="bottles"/>
    <n v="22"/>
    <x v="41"/>
    <n v="3"/>
    <x v="5"/>
    <n v="1"/>
    <n v="2"/>
    <x v="0"/>
    <n v="0"/>
    <x v="1"/>
    <d v="2026-01-12T00:00:00"/>
  </r>
  <r>
    <n v="135"/>
    <x v="134"/>
    <x v="8"/>
    <x v="4"/>
    <x v="53"/>
    <n v="5"/>
    <s v="packs"/>
    <n v="14"/>
    <x v="45"/>
    <n v="4"/>
    <x v="5"/>
    <n v="1"/>
    <n v="2"/>
    <x v="0"/>
    <n v="0"/>
    <x v="1"/>
    <d v="2026-01-12T00:00:00"/>
  </r>
  <r>
    <n v="136"/>
    <x v="135"/>
    <x v="8"/>
    <x v="4"/>
    <x v="51"/>
    <n v="10"/>
    <s v="packs"/>
    <n v="18"/>
    <x v="13"/>
    <n v="8"/>
    <x v="5"/>
    <n v="10"/>
    <n v="11"/>
    <x v="1"/>
    <n v="8"/>
    <x v="1"/>
    <d v="2026-01-12T00:00:00"/>
  </r>
  <r>
    <n v="137"/>
    <x v="136"/>
    <x v="8"/>
    <x v="5"/>
    <x v="54"/>
    <n v="40"/>
    <s v="ea"/>
    <n v="6.5"/>
    <x v="84"/>
    <n v="6"/>
    <x v="5"/>
    <n v="15"/>
    <n v="16"/>
    <x v="0"/>
    <n v="0"/>
    <x v="1"/>
    <d v="2026-01-12T00:00:00"/>
  </r>
  <r>
    <n v="138"/>
    <x v="137"/>
    <x v="8"/>
    <x v="5"/>
    <x v="54"/>
    <n v="40"/>
    <s v="ea"/>
    <n v="8.5"/>
    <x v="25"/>
    <n v="3"/>
    <x v="5"/>
    <n v="15"/>
    <n v="16"/>
    <x v="0"/>
    <n v="0"/>
    <x v="1"/>
    <d v="2026-01-12T00:00:00"/>
  </r>
  <r>
    <n v="139"/>
    <x v="138"/>
    <x v="8"/>
    <x v="5"/>
    <x v="55"/>
    <n v="20"/>
    <s v="  rolls"/>
    <n v="5.5"/>
    <x v="64"/>
    <n v="5"/>
    <x v="5"/>
    <n v="5"/>
    <n v="6"/>
    <x v="0"/>
    <n v="0"/>
    <x v="1"/>
    <d v="2026-01-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32798-6971-4FE1-B8FD-FE8205DAD97A}"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32" firstHeaderRow="1" firstDataRow="1" firstDataCol="1" rowPageCount="2" colPageCount="1"/>
  <pivotFields count="19">
    <pivotField showAll="0"/>
    <pivotField axis="axisRow" showAll="0">
      <items count="140">
        <item x="1"/>
        <item x="0"/>
        <item x="86"/>
        <item x="99"/>
        <item x="110"/>
        <item x="132"/>
        <item x="34"/>
        <item x="95"/>
        <item x="71"/>
        <item x="19"/>
        <item x="47"/>
        <item x="13"/>
        <item x="107"/>
        <item x="40"/>
        <item x="36"/>
        <item x="43"/>
        <item x="45"/>
        <item x="42"/>
        <item x="41"/>
        <item x="38"/>
        <item x="49"/>
        <item x="37"/>
        <item x="39"/>
        <item x="35"/>
        <item x="65"/>
        <item x="130"/>
        <item x="32"/>
        <item x="75"/>
        <item x="46"/>
        <item x="21"/>
        <item x="22"/>
        <item x="59"/>
        <item x="117"/>
        <item x="84"/>
        <item x="48"/>
        <item x="123"/>
        <item x="105"/>
        <item x="137"/>
        <item x="72"/>
        <item x="66"/>
        <item x="67"/>
        <item x="88"/>
        <item x="97"/>
        <item x="70"/>
        <item x="89"/>
        <item x="114"/>
        <item x="68"/>
        <item x="74"/>
        <item x="93"/>
        <item x="126"/>
        <item x="113"/>
        <item x="76"/>
        <item x="5"/>
        <item x="81"/>
        <item x="90"/>
        <item x="9"/>
        <item x="11"/>
        <item x="16"/>
        <item x="15"/>
        <item x="79"/>
        <item x="78"/>
        <item x="77"/>
        <item x="106"/>
        <item x="69"/>
        <item x="98"/>
        <item x="120"/>
        <item x="136"/>
        <item x="129"/>
        <item x="104"/>
        <item x="18"/>
        <item x="94"/>
        <item x="127"/>
        <item x="134"/>
        <item x="112"/>
        <item x="63"/>
        <item x="133"/>
        <item x="118"/>
        <item x="119"/>
        <item x="91"/>
        <item x="82"/>
        <item x="121"/>
        <item x="87"/>
        <item x="102"/>
        <item x="52"/>
        <item x="85"/>
        <item x="57"/>
        <item x="83"/>
        <item x="96"/>
        <item x="116"/>
        <item x="17"/>
        <item x="44"/>
        <item x="29"/>
        <item x="10"/>
        <item x="128"/>
        <item x="3"/>
        <item x="135"/>
        <item x="109"/>
        <item x="12"/>
        <item x="92"/>
        <item x="62"/>
        <item x="24"/>
        <item x="23"/>
        <item x="138"/>
        <item x="8"/>
        <item x="131"/>
        <item x="4"/>
        <item x="28"/>
        <item x="25"/>
        <item x="73"/>
        <item x="2"/>
        <item x="111"/>
        <item x="53"/>
        <item x="61"/>
        <item x="50"/>
        <item x="60"/>
        <item x="58"/>
        <item x="54"/>
        <item x="51"/>
        <item x="64"/>
        <item x="30"/>
        <item x="20"/>
        <item x="31"/>
        <item x="115"/>
        <item x="101"/>
        <item x="124"/>
        <item x="80"/>
        <item x="56"/>
        <item x="55"/>
        <item x="33"/>
        <item x="6"/>
        <item x="14"/>
        <item x="108"/>
        <item x="122"/>
        <item x="7"/>
        <item x="27"/>
        <item x="26"/>
        <item x="100"/>
        <item x="103"/>
        <item x="125"/>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Page" showAll="0">
      <items count="3">
        <item x="0"/>
        <item x="1"/>
        <item t="default"/>
      </items>
    </pivotField>
    <pivotField showAll="0"/>
    <pivotField axis="axisPage" showAll="0">
      <items count="4">
        <item x="0"/>
        <item x="2"/>
        <item x="1"/>
        <item t="default"/>
      </items>
    </pivotField>
    <pivotField numFmtId="14" showAll="0"/>
    <pivotField dragToRow="0" dragToCol="0" dragToPage="0" showAll="0" defaultSubtotal="0"/>
    <pivotField dragToRow="0" dragToCol="0" dragToPage="0" showAll="0" defaultSubtotal="0"/>
  </pivotFields>
  <rowFields count="1">
    <field x="1"/>
  </rowFields>
  <rowItems count="4">
    <i>
      <x v="44"/>
    </i>
    <i>
      <x v="61"/>
    </i>
    <i>
      <x v="84"/>
    </i>
    <i t="grand">
      <x/>
    </i>
  </rowItems>
  <colItems count="1">
    <i/>
  </colItems>
  <pageFields count="2">
    <pageField fld="15" item="0" hier="-1"/>
    <pageField fld="13" item="1" hier="-1"/>
  </pageField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578BE-0896-42D4-9C48-700EB3D540CA}"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iticality">
  <location ref="G18:H22" firstHeaderRow="1" firstDataRow="1" firstDataCol="1"/>
  <pivotFields count="19">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 showAll="0"/>
    <pivotField axis="axisRow" showAll="0">
      <items count="4">
        <item x="0"/>
        <item x="2"/>
        <item x="1"/>
        <item t="default"/>
      </items>
    </pivotField>
    <pivotField numFmtId="14" showAll="0"/>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Total Cost (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FBC861-FA76-4A75-B249-E3047F3C96FC}" name="PivotTable1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6:I43" firstHeaderRow="1" firstDataRow="2" firstDataCol="1"/>
  <pivotFields count="19">
    <pivotField showAll="0"/>
    <pivotField showAll="0"/>
    <pivotField axis="axisRow" showAll="0">
      <items count="10">
        <item x="2"/>
        <item x="0"/>
        <item x="6"/>
        <item x="4"/>
        <item x="5"/>
        <item x="8"/>
        <item x="7"/>
        <item x="3"/>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 numFmtId="14" showAll="0"/>
    <pivotField dragToRow="0" dragToCol="0" dragToPage="0" showAll="0" defaultSubtotal="0"/>
    <pivotField dataField="1" dragToRow="0" dragToCol="0" dragToPage="0" showAll="0" defaultSubtotal="0"/>
  </pivotFields>
  <rowFields count="1">
    <field x="2"/>
  </rowFields>
  <rowItems count="6">
    <i>
      <x v="3"/>
    </i>
    <i>
      <x v="4"/>
    </i>
    <i>
      <x v="5"/>
    </i>
    <i>
      <x v="6"/>
    </i>
    <i>
      <x v="7"/>
    </i>
    <i t="grand">
      <x/>
    </i>
  </rowItems>
  <colFields count="1">
    <field x="13"/>
  </colFields>
  <colItems count="2">
    <i>
      <x v="1"/>
    </i>
    <i t="grand">
      <x/>
    </i>
  </colItems>
  <dataFields count="1">
    <dataField name="Cost to Restock"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EE222-299B-428B-B1E8-29010BD04EF1}"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D75" firstHeaderRow="0" firstDataRow="1" firstDataCol="1" rowPageCount="2" colPageCount="1"/>
  <pivotFields count="19">
    <pivotField showAll="0"/>
    <pivotField axis="axisRow" showAll="0">
      <items count="140">
        <item x="1"/>
        <item x="0"/>
        <item x="86"/>
        <item x="99"/>
        <item x="110"/>
        <item x="132"/>
        <item x="34"/>
        <item x="95"/>
        <item x="71"/>
        <item x="19"/>
        <item x="47"/>
        <item x="13"/>
        <item x="107"/>
        <item x="40"/>
        <item x="36"/>
        <item x="43"/>
        <item x="45"/>
        <item x="42"/>
        <item x="41"/>
        <item x="38"/>
        <item x="49"/>
        <item x="37"/>
        <item x="39"/>
        <item x="35"/>
        <item x="65"/>
        <item x="130"/>
        <item x="32"/>
        <item x="75"/>
        <item x="46"/>
        <item x="21"/>
        <item x="22"/>
        <item x="59"/>
        <item x="117"/>
        <item x="84"/>
        <item x="48"/>
        <item x="123"/>
        <item x="105"/>
        <item x="137"/>
        <item x="72"/>
        <item x="66"/>
        <item x="67"/>
        <item x="88"/>
        <item x="97"/>
        <item x="70"/>
        <item x="89"/>
        <item x="114"/>
        <item x="68"/>
        <item x="74"/>
        <item x="93"/>
        <item x="126"/>
        <item x="113"/>
        <item x="76"/>
        <item x="5"/>
        <item x="81"/>
        <item x="90"/>
        <item x="9"/>
        <item x="11"/>
        <item x="16"/>
        <item x="15"/>
        <item x="79"/>
        <item x="78"/>
        <item x="77"/>
        <item x="106"/>
        <item x="69"/>
        <item x="98"/>
        <item x="120"/>
        <item x="136"/>
        <item x="129"/>
        <item x="104"/>
        <item x="18"/>
        <item x="94"/>
        <item x="127"/>
        <item x="134"/>
        <item x="112"/>
        <item x="63"/>
        <item x="133"/>
        <item x="118"/>
        <item x="119"/>
        <item x="91"/>
        <item x="82"/>
        <item x="121"/>
        <item x="87"/>
        <item x="102"/>
        <item x="52"/>
        <item x="85"/>
        <item x="57"/>
        <item x="83"/>
        <item x="96"/>
        <item x="116"/>
        <item x="17"/>
        <item x="44"/>
        <item x="29"/>
        <item x="10"/>
        <item x="128"/>
        <item x="3"/>
        <item x="135"/>
        <item x="109"/>
        <item x="12"/>
        <item x="92"/>
        <item x="62"/>
        <item x="24"/>
        <item x="23"/>
        <item x="138"/>
        <item x="8"/>
        <item x="131"/>
        <item x="4"/>
        <item x="28"/>
        <item x="25"/>
        <item x="73"/>
        <item x="2"/>
        <item x="111"/>
        <item x="53"/>
        <item x="61"/>
        <item x="50"/>
        <item x="60"/>
        <item x="58"/>
        <item x="54"/>
        <item x="51"/>
        <item x="64"/>
        <item x="30"/>
        <item x="20"/>
        <item x="31"/>
        <item x="115"/>
        <item x="101"/>
        <item x="124"/>
        <item x="80"/>
        <item x="56"/>
        <item x="55"/>
        <item x="33"/>
        <item x="6"/>
        <item x="14"/>
        <item x="108"/>
        <item x="122"/>
        <item x="7"/>
        <item x="27"/>
        <item x="26"/>
        <item x="100"/>
        <item x="103"/>
        <item x="125"/>
        <item t="default"/>
      </items>
    </pivotField>
    <pivotField axis="axisPage" multipleItemSelectionAllowed="1" showAll="0">
      <items count="10">
        <item h="1" x="2"/>
        <item x="0"/>
        <item x="6"/>
        <item x="4"/>
        <item x="5"/>
        <item h="1" x="8"/>
        <item h="1" x="7"/>
        <item h="1" x="3"/>
        <item h="1" x="1"/>
        <item t="default"/>
      </items>
    </pivotField>
    <pivotField showAll="0"/>
    <pivotField showAll="0"/>
    <pivotField dataField="1" showAll="0"/>
    <pivotField showAll="0"/>
    <pivotField showAll="0"/>
    <pivotField showAll="0"/>
    <pivotField showAll="0"/>
    <pivotField showAll="0"/>
    <pivotField dataField="1" showAll="0"/>
    <pivotField showAll="0"/>
    <pivotField showAll="0"/>
    <pivotField showAll="0"/>
    <pivotField axis="axisPage" multipleItemSelectionAllowed="1" showAll="0">
      <items count="4">
        <item h="1" x="0"/>
        <item x="2"/>
        <item x="1"/>
        <item t="default"/>
      </items>
    </pivotField>
    <pivotField numFmtId="14" showAll="0"/>
    <pivotField dataField="1" dragToRow="0" dragToCol="0" dragToPage="0" showAll="0" defaultSubtotal="0"/>
    <pivotField dragToRow="0" dragToCol="0" dragToPage="0" showAll="0" defaultSubtotal="0"/>
  </pivotFields>
  <rowFields count="1">
    <field x="1"/>
  </rowFields>
  <rowItems count="43">
    <i>
      <x v="3"/>
    </i>
    <i>
      <x v="7"/>
    </i>
    <i>
      <x v="11"/>
    </i>
    <i>
      <x v="27"/>
    </i>
    <i>
      <x v="33"/>
    </i>
    <i>
      <x v="36"/>
    </i>
    <i>
      <x v="38"/>
    </i>
    <i>
      <x v="41"/>
    </i>
    <i>
      <x v="42"/>
    </i>
    <i>
      <x v="46"/>
    </i>
    <i>
      <x v="47"/>
    </i>
    <i>
      <x v="48"/>
    </i>
    <i>
      <x v="51"/>
    </i>
    <i>
      <x v="52"/>
    </i>
    <i>
      <x v="53"/>
    </i>
    <i>
      <x v="55"/>
    </i>
    <i>
      <x v="56"/>
    </i>
    <i>
      <x v="59"/>
    </i>
    <i>
      <x v="60"/>
    </i>
    <i>
      <x v="64"/>
    </i>
    <i>
      <x v="68"/>
    </i>
    <i>
      <x v="70"/>
    </i>
    <i>
      <x v="78"/>
    </i>
    <i>
      <x v="79"/>
    </i>
    <i>
      <x v="81"/>
    </i>
    <i>
      <x v="82"/>
    </i>
    <i>
      <x v="86"/>
    </i>
    <i>
      <x v="87"/>
    </i>
    <i>
      <x v="92"/>
    </i>
    <i>
      <x v="94"/>
    </i>
    <i>
      <x v="97"/>
    </i>
    <i>
      <x v="98"/>
    </i>
    <i>
      <x v="103"/>
    </i>
    <i>
      <x v="105"/>
    </i>
    <i>
      <x v="108"/>
    </i>
    <i>
      <x v="109"/>
    </i>
    <i>
      <x v="123"/>
    </i>
    <i>
      <x v="125"/>
    </i>
    <i>
      <x v="129"/>
    </i>
    <i>
      <x v="130"/>
    </i>
    <i>
      <x v="136"/>
    </i>
    <i>
      <x v="137"/>
    </i>
    <i t="grand">
      <x/>
    </i>
  </rowItems>
  <colFields count="1">
    <field x="-2"/>
  </colFields>
  <colItems count="3">
    <i>
      <x/>
    </i>
    <i i="1">
      <x v="1"/>
    </i>
    <i i="2">
      <x v="2"/>
    </i>
  </colItems>
  <pageFields count="2">
    <pageField fld="2" hier="-1"/>
    <pageField fld="15" hier="-1"/>
  </pageFields>
  <dataFields count="3">
    <dataField name="Sum of Safety Stock" fld="11" baseField="0" baseItem="0"/>
    <dataField name="Sum of Quantity" fld="5" baseField="0" baseItem="0"/>
    <dataField name="Sum of Buffer Health" fld="17" baseField="0" baseItem="0"/>
  </dataFields>
  <conditionalFormats count="3">
    <conditionalFormat priority="3">
      <pivotAreas count="1">
        <pivotArea type="data" outline="0" collapsedLevelsAreSubtotals="1" fieldPosition="0">
          <references count="1">
            <reference field="4294967294" count="1" selected="0">
              <x v="2"/>
            </reference>
          </references>
        </pivotArea>
      </pivotAreas>
    </conditionalFormat>
    <conditionalFormat priority="2">
      <pivotAreas count="1">
        <pivotArea outline="0" fieldPosition="0">
          <references count="1">
            <reference field="4294967294" count="1">
              <x v="2"/>
            </reference>
          </references>
        </pivotArea>
      </pivotAreas>
    </conditionalFormat>
    <conditionalFormat priority="1">
      <pivotAreas count="1">
        <pivotArea outline="0" fieldPosition="0">
          <references count="1">
            <reference field="4294967294" count="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9AF819-54D0-4AE9-AB72-4B7F53558FC0}"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rawer Location" colHeaderCaption="Stock Status Count">
  <location ref="A17:D26" firstHeaderRow="1" firstDataRow="2" firstDataCol="1"/>
  <pivotFields count="19">
    <pivotField dataField="1" showAll="0"/>
    <pivotField showAll="0"/>
    <pivotField showAll="0"/>
    <pivotField axis="axisRow" showAll="0">
      <items count="8">
        <item x="4"/>
        <item x="6"/>
        <item x="5"/>
        <item x="0"/>
        <item x="2"/>
        <item x="1"/>
        <item x="3"/>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numFmtId="14" showAll="0"/>
    <pivotField dragToRow="0" dragToCol="0" dragToPage="0" showAll="0" defaultSubtotal="0"/>
    <pivotField dragToRow="0" dragToCol="0" dragToPage="0" showAll="0" defaultSubtotal="0"/>
  </pivotFields>
  <rowFields count="1">
    <field x="3"/>
  </rowFields>
  <rowItems count="8">
    <i>
      <x/>
    </i>
    <i>
      <x v="1"/>
    </i>
    <i>
      <x v="2"/>
    </i>
    <i>
      <x v="3"/>
    </i>
    <i>
      <x v="4"/>
    </i>
    <i>
      <x v="5"/>
    </i>
    <i>
      <x v="6"/>
    </i>
    <i t="grand">
      <x/>
    </i>
  </rowItems>
  <colFields count="1">
    <field x="13"/>
  </colFields>
  <colItems count="3">
    <i>
      <x/>
    </i>
    <i>
      <x v="1"/>
    </i>
    <i t="grand">
      <x/>
    </i>
  </colItems>
  <dataFields count="1">
    <dataField name="Inventory Health Table"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7B7506-70B7-4AD5-9FAF-93EFE6120955}"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system">
  <location ref="A3:I13" firstHeaderRow="1" firstDataRow="3" firstDataCol="1"/>
  <pivotFields count="19">
    <pivotField dataField="1" showAll="0"/>
    <pivotField showAll="0"/>
    <pivotField axis="axisCol" showAll="0">
      <items count="10">
        <item x="2"/>
        <item h="1" x="0"/>
        <item h="1" x="6"/>
        <item h="1" x="4"/>
        <item h="1" x="5"/>
        <item h="1" x="8"/>
        <item x="7"/>
        <item h="1" x="3"/>
        <item x="1"/>
        <item t="default"/>
      </items>
    </pivotField>
    <pivotField axis="axisRow" showAll="0">
      <items count="8">
        <item x="4"/>
        <item x="6"/>
        <item x="5"/>
        <item x="0"/>
        <item x="2"/>
        <item x="1"/>
        <item x="3"/>
        <item t="default"/>
      </items>
    </pivotField>
    <pivotField showAll="0"/>
    <pivotField showAll="0"/>
    <pivotField showAll="0"/>
    <pivotField showAll="0"/>
    <pivotField dataField="1" showAll="0">
      <items count="86">
        <item x="7"/>
        <item x="80"/>
        <item x="83"/>
        <item x="44"/>
        <item x="82"/>
        <item x="22"/>
        <item x="73"/>
        <item x="35"/>
        <item x="45"/>
        <item x="70"/>
        <item x="23"/>
        <item x="41"/>
        <item x="12"/>
        <item x="55"/>
        <item x="33"/>
        <item x="32"/>
        <item x="64"/>
        <item x="42"/>
        <item x="34"/>
        <item x="10"/>
        <item x="81"/>
        <item x="43"/>
        <item x="72"/>
        <item x="54"/>
        <item x="62"/>
        <item x="61"/>
        <item x="13"/>
        <item x="63"/>
        <item x="6"/>
        <item x="24"/>
        <item x="26"/>
        <item x="19"/>
        <item x="40"/>
        <item x="5"/>
        <item x="31"/>
        <item x="38"/>
        <item x="39"/>
        <item x="84"/>
        <item x="67"/>
        <item x="77"/>
        <item x="53"/>
        <item x="9"/>
        <item x="16"/>
        <item x="69"/>
        <item x="25"/>
        <item x="65"/>
        <item x="58"/>
        <item x="36"/>
        <item x="76"/>
        <item x="2"/>
        <item x="8"/>
        <item x="52"/>
        <item x="79"/>
        <item x="78"/>
        <item x="57"/>
        <item x="59"/>
        <item x="27"/>
        <item x="75"/>
        <item x="15"/>
        <item x="30"/>
        <item x="60"/>
        <item x="74"/>
        <item x="3"/>
        <item x="56"/>
        <item x="21"/>
        <item x="71"/>
        <item x="66"/>
        <item x="4"/>
        <item x="68"/>
        <item x="29"/>
        <item x="37"/>
        <item x="28"/>
        <item x="47"/>
        <item x="20"/>
        <item x="48"/>
        <item x="14"/>
        <item x="46"/>
        <item x="11"/>
        <item x="51"/>
        <item x="1"/>
        <item x="49"/>
        <item x="50"/>
        <item x="17"/>
        <item x="18"/>
        <item x="0"/>
        <item t="default"/>
      </items>
    </pivotField>
    <pivotField showAll="0"/>
    <pivotField showAll="0"/>
    <pivotField showAll="0"/>
    <pivotField showAll="0"/>
    <pivotField showAll="0"/>
    <pivotField showAll="0"/>
    <pivotField showAll="0"/>
    <pivotField numFmtId="14" showAll="0"/>
    <pivotField dragToRow="0" dragToCol="0" dragToPage="0" showAll="0" defaultSubtotal="0"/>
    <pivotField dragToRow="0" dragToCol="0" dragToPage="0" showAll="0" defaultSubtotal="0"/>
  </pivotFields>
  <rowFields count="1">
    <field x="3"/>
  </rowFields>
  <rowItems count="8">
    <i>
      <x/>
    </i>
    <i>
      <x v="1"/>
    </i>
    <i>
      <x v="2"/>
    </i>
    <i>
      <x v="3"/>
    </i>
    <i>
      <x v="4"/>
    </i>
    <i>
      <x v="5"/>
    </i>
    <i>
      <x v="6"/>
    </i>
    <i t="grand">
      <x/>
    </i>
  </rowItems>
  <colFields count="2">
    <field x="2"/>
    <field x="-2"/>
  </colFields>
  <colItems count="8">
    <i>
      <x/>
      <x/>
    </i>
    <i r="1" i="1">
      <x v="1"/>
    </i>
    <i>
      <x v="6"/>
      <x/>
    </i>
    <i r="1" i="1">
      <x v="1"/>
    </i>
    <i>
      <x v="8"/>
      <x/>
    </i>
    <i r="1" i="1">
      <x v="1"/>
    </i>
    <i t="grand">
      <x/>
    </i>
    <i t="grand" i="1">
      <x/>
    </i>
  </colItems>
  <dataFields count="2">
    <dataField name="Count of Part ID" fld="0" subtotal="count" baseField="3" baseItem="1"/>
    <dataField name="Sum of Total Cost (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9CA344-9A58-407B-BB0A-039D4A96003D}"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d Time ">
  <location ref="H4:L13" firstHeaderRow="1" firstDataRow="2" firstDataCol="1" rowPageCount="1" colPageCount="1"/>
  <pivotFields count="19">
    <pivotField dataField="1" showAll="0"/>
    <pivotField showAll="0"/>
    <pivotField showAll="0"/>
    <pivotField showAll="0"/>
    <pivotField showAll="0"/>
    <pivotField showAll="0"/>
    <pivotField showAll="0"/>
    <pivotField showAll="0"/>
    <pivotField showAll="0"/>
    <pivotField showAll="0"/>
    <pivotField axis="axisRow" showAll="0">
      <items count="11">
        <item x="3"/>
        <item x="5"/>
        <item x="1"/>
        <item x="4"/>
        <item x="2"/>
        <item x="0"/>
        <item x="6"/>
        <item x="7"/>
        <item x="8"/>
        <item x="9"/>
        <item t="default"/>
      </items>
    </pivotField>
    <pivotField showAll="0"/>
    <pivotField showAll="0"/>
    <pivotField axis="axisPage" showAll="0">
      <items count="3">
        <item x="0"/>
        <item x="1"/>
        <item t="default"/>
      </items>
    </pivotField>
    <pivotField showAll="0"/>
    <pivotField axis="axisCol" showAll="0">
      <items count="4">
        <item x="0"/>
        <item x="2"/>
        <item x="1"/>
        <item t="default"/>
      </items>
    </pivotField>
    <pivotField numFmtId="14" showAll="0"/>
    <pivotField dragToRow="0" dragToCol="0" dragToPage="0" showAll="0" defaultSubtotal="0"/>
    <pivotField dragToRow="0" dragToCol="0" dragToPage="0" showAll="0" defaultSubtotal="0"/>
  </pivotFields>
  <rowFields count="1">
    <field x="10"/>
  </rowFields>
  <rowItems count="8">
    <i>
      <x v="1"/>
    </i>
    <i>
      <x v="3"/>
    </i>
    <i>
      <x v="4"/>
    </i>
    <i>
      <x v="5"/>
    </i>
    <i>
      <x v="6"/>
    </i>
    <i>
      <x v="7"/>
    </i>
    <i>
      <x v="9"/>
    </i>
    <i t="grand">
      <x/>
    </i>
  </rowItems>
  <colFields count="1">
    <field x="15"/>
  </colFields>
  <colItems count="4">
    <i>
      <x/>
    </i>
    <i>
      <x v="1"/>
    </i>
    <i>
      <x v="2"/>
    </i>
    <i t="grand">
      <x/>
    </i>
  </colItems>
  <pageFields count="1">
    <pageField fld="13" item="1" hier="-1"/>
  </pageFields>
  <dataFields count="1">
    <dataField name="Count of Part ID" fld="0" subtotal="count" baseField="1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071C72-08F3-4A34-86AD-59474A3F81E0}" name="Pivo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location ref="B4:F61" firstHeaderRow="0" firstDataRow="1" firstDataCol="1" rowPageCount="1" colPageCount="1"/>
  <pivotFields count="19">
    <pivotField showAll="0"/>
    <pivotField showAll="0"/>
    <pivotField showAll="0"/>
    <pivotField showAll="0"/>
    <pivotField axis="axisRow" showAll="0">
      <items count="57">
        <item x="51"/>
        <item x="7"/>
        <item x="1"/>
        <item x="40"/>
        <item x="8"/>
        <item x="20"/>
        <item x="44"/>
        <item x="24"/>
        <item x="36"/>
        <item x="41"/>
        <item x="43"/>
        <item x="12"/>
        <item x="9"/>
        <item x="11"/>
        <item x="25"/>
        <item x="27"/>
        <item x="26"/>
        <item x="4"/>
        <item x="53"/>
        <item x="38"/>
        <item x="34"/>
        <item x="49"/>
        <item x="6"/>
        <item x="32"/>
        <item x="15"/>
        <item x="48"/>
        <item x="10"/>
        <item x="22"/>
        <item x="47"/>
        <item x="54"/>
        <item x="3"/>
        <item x="52"/>
        <item x="13"/>
        <item x="5"/>
        <item x="29"/>
        <item x="30"/>
        <item x="23"/>
        <item x="21"/>
        <item x="28"/>
        <item x="46"/>
        <item x="55"/>
        <item x="2"/>
        <item x="45"/>
        <item x="35"/>
        <item x="14"/>
        <item x="33"/>
        <item x="39"/>
        <item x="42"/>
        <item x="16"/>
        <item x="19"/>
        <item x="31"/>
        <item x="18"/>
        <item x="37"/>
        <item x="50"/>
        <item x="0"/>
        <item x="17"/>
        <item t="default"/>
      </items>
    </pivotField>
    <pivotField dataField="1" showAll="0"/>
    <pivotField showAll="0"/>
    <pivotField showAll="0"/>
    <pivotField dataField="1" showAll="0"/>
    <pivotField showAll="0"/>
    <pivotField dataField="1" showAll="0"/>
    <pivotField dataField="1" showAll="0"/>
    <pivotField showAll="0"/>
    <pivotField showAll="0"/>
    <pivotField showAll="0"/>
    <pivotField axis="axisPage" multipleItemSelectionAllowed="1" showAll="0">
      <items count="4">
        <item x="0"/>
        <item x="2"/>
        <item x="1"/>
        <item t="default"/>
      </items>
    </pivotField>
    <pivotField numFmtId="14" showAll="0"/>
    <pivotField dragToRow="0" dragToCol="0" dragToPage="0" showAll="0" defaultSubtotal="0"/>
    <pivotField dragToRow="0" dragToCol="0" dragToPage="0" showAll="0" defaultSubtotal="0"/>
  </pivotFields>
  <rowFields count="1">
    <field x="4"/>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Fields count="1">
    <field x="-2"/>
  </colFields>
  <colItems count="4">
    <i>
      <x/>
    </i>
    <i i="1">
      <x v="1"/>
    </i>
    <i i="2">
      <x v="2"/>
    </i>
    <i i="3">
      <x v="3"/>
    </i>
  </colItems>
  <pageFields count="1">
    <pageField fld="15" hier="-1"/>
  </pageFields>
  <dataFields count="4">
    <dataField name="Average of Lead Time (Days)" fld="10" subtotal="average" baseField="4" baseItem="0"/>
    <dataField name="Sum of Total Cost (USD)" fld="8" baseField="0" baseItem="0"/>
    <dataField name="Sum of Quantity" fld="5" baseField="4" baseItem="18"/>
    <dataField name="Sum of Safety Stock" fld="11" baseField="0" baseItem="0"/>
  </dataFields>
  <formats count="1">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ystem1" xr10:uid="{CEF0E8E4-65F3-47C4-9B5D-6AD99496EA34}" sourceName="Subsystem">
  <pivotTables>
    <pivotTable tabId="8" name="PivotTable4"/>
  </pivotTables>
  <data>
    <tabular pivotCacheId="1083123479">
      <items count="9">
        <i x="2" s="1"/>
        <i x="0"/>
        <i x="6"/>
        <i x="4"/>
        <i x="5"/>
        <i x="8"/>
        <i x="7" s="1"/>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ystem" xr10:uid="{1560AEA1-30C9-4BF9-89A8-29CE6757E742}" sourceName="Subsystem">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awer_Location" xr10:uid="{743A6F3F-560E-4E34-8141-2AE4B70CD77F}" sourceName="Drawer Location">
  <extLst>
    <x:ext xmlns:x15="http://schemas.microsoft.com/office/spreadsheetml/2010/11/main" uri="{2F2917AC-EB37-4324-AD4E-5DD8C200BD13}">
      <x15:tableSlicerCache tableId="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4840EE10-F19B-4DEC-92A1-AE7773D340A7}" sourceName="Supplier">
  <extLst>
    <x:ext xmlns:x15="http://schemas.microsoft.com/office/spreadsheetml/2010/11/main" uri="{2F2917AC-EB37-4324-AD4E-5DD8C200BD13}">
      <x15:tableSlicerCache tableId="2"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ticality" xr10:uid="{9B2DBEE6-B2D9-4514-A1AE-45862AFF4248}" sourceName="Criticality">
  <extLst>
    <x:ext xmlns:x15="http://schemas.microsoft.com/office/spreadsheetml/2010/11/main" uri="{2F2917AC-EB37-4324-AD4E-5DD8C200BD13}">
      <x15:tableSlicerCache tableId="2"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ystem 1" xr10:uid="{1C041837-6E5C-4DD7-A7AE-32AF72312ABE}" cache="Slicer_Subsystem1" caption="Subsystem"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ystem" xr10:uid="{6AB192CF-2E87-4CF3-BC9F-D9D56FC7B511}" cache="Slicer_Subsystem" caption="Subsystem" rowHeight="257175"/>
  <slicer name="Drawer Location" xr10:uid="{FB28AF9A-A0C5-475F-8106-807B88F1D865}" cache="Slicer_Drawer_Location" caption="Drawer Location" rowHeight="257175"/>
  <slicer name="Supplier" xr10:uid="{217CCB2E-8FCC-4333-B1BE-FF73DF6C6987}" cache="Slicer_Supplier" caption="Supplier" rowHeight="257175"/>
  <slicer name="Criticality" xr10:uid="{CD361418-B4DD-4406-BEFE-2D79445005EA}" cache="Slicer_Criticality" caption="Criticalit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46753D-B327-48D5-9A7F-BEC8F68D45CC}" name="Table2" displayName="Table2" ref="C1:S140" totalsRowShown="0" headerRowDxfId="24" dataDxfId="25" tableBorderDxfId="39">
  <autoFilter ref="C1:S140" xr:uid="{9946753D-B327-48D5-9A7F-BEC8F68D45CC}"/>
  <tableColumns count="17">
    <tableColumn id="1" xr3:uid="{6F199398-BE64-41FA-B837-974ADEA5820F}" name="Part ID" dataDxfId="22"/>
    <tableColumn id="2" xr3:uid="{A831E449-79ED-416B-AE24-DF5F9E9982E9}" name="Part Name"/>
    <tableColumn id="3" xr3:uid="{0FF90C1B-DE87-45CD-8465-F21B0D8C145E}" name="Subsystem"/>
    <tableColumn id="4" xr3:uid="{58E813D8-BCF0-47BD-B968-6C07C4E1FFD9}" name="Drawer Location"/>
    <tableColumn id="5" xr3:uid="{73E110EE-BB76-478C-B506-8A1A71B34C9F}" name="Supplier" dataDxfId="38"/>
    <tableColumn id="6" xr3:uid="{ED299ABE-A3CC-441B-9B8C-CFD105D0379B}" name="Quantity" dataDxfId="37"/>
    <tableColumn id="7" xr3:uid="{97787F83-8622-4D11-83E5-CE3B6F807CB3}" name="Quantity Units" dataDxfId="36"/>
    <tableColumn id="8" xr3:uid="{CAAA668F-0066-4C4B-89A6-554401336E27}" name="Unit Cost (USD)" dataDxfId="35"/>
    <tableColumn id="9" xr3:uid="{A94ED4E0-7337-459C-A03A-E42364D717B2}" name="Total Cost (USD)" dataDxfId="34">
      <calculatedColumnFormula>H2*J2</calculatedColumnFormula>
    </tableColumn>
    <tableColumn id="10" xr3:uid="{CCA578A2-2A23-4CA6-AA7B-F9DD94331B4A}" name="Usage Rate" dataDxfId="33"/>
    <tableColumn id="11" xr3:uid="{70F8CC99-13CF-4056-8AF3-A6707A72D9C0}" name="Lead Time (Days)" dataDxfId="32"/>
    <tableColumn id="12" xr3:uid="{C3CDB040-3D77-4649-B3DF-6FD123AD8D5D}" name="Safety Stock" dataDxfId="31"/>
    <tableColumn id="13" xr3:uid="{491A864A-3F72-41C7-96A6-0D94849AC16C}" name="Reorder Point" dataDxfId="30">
      <calculatedColumnFormula>ROUNDUP((((L2/30)*M2)+N2),0)</calculatedColumnFormula>
    </tableColumn>
    <tableColumn id="14" xr3:uid="{9CAE6EB4-02E6-4483-A39D-E654077ABC49}" name="Stock Status" dataDxfId="29">
      <calculatedColumnFormula>IF(H2 &lt;= O2, "REORDER", "OK")</calculatedColumnFormula>
    </tableColumn>
    <tableColumn id="15" xr3:uid="{E44F676A-DBC5-44BF-A1AA-5C89415274A7}" name="Order Quantity" dataDxfId="28">
      <calculatedColumnFormula>IF(P2="REORDER",(L2+N2)-H2,0)</calculatedColumnFormula>
    </tableColumn>
    <tableColumn id="16" xr3:uid="{A9D5F017-209D-45C0-A524-DD528AA3C22D}" name="Criticality" dataDxfId="27"/>
    <tableColumn id="17" xr3:uid="{5A5E94E2-072B-426C-B3F0-77604F45006A}" name="Last Updated" dataDxfId="2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58933-2891-49B0-B04E-83E7796B9426}">
  <dimension ref="A1:N14"/>
  <sheetViews>
    <sheetView tabSelected="1" topLeftCell="A4" zoomScale="85" zoomScaleNormal="85" workbookViewId="0">
      <selection activeCell="K5" sqref="K5"/>
    </sheetView>
  </sheetViews>
  <sheetFormatPr defaultColWidth="15.7109375" defaultRowHeight="46.5" customHeight="1" x14ac:dyDescent="0.25"/>
  <cols>
    <col min="1" max="1" width="15.7109375" style="41"/>
    <col min="2" max="2" width="40.7109375" style="41" customWidth="1"/>
    <col min="3" max="3" width="24.28515625" style="2" customWidth="1"/>
    <col min="4" max="4" width="28.7109375" style="41" customWidth="1"/>
    <col min="5" max="5" width="53.5703125" style="42" customWidth="1"/>
    <col min="6" max="6" width="15.7109375" style="2"/>
    <col min="7" max="7" width="21.7109375" style="41" customWidth="1"/>
    <col min="8" max="8" width="44.5703125" style="41" customWidth="1"/>
    <col min="9" max="9" width="15.7109375" style="2"/>
    <col min="10" max="10" width="15.7109375" style="41"/>
    <col min="11" max="11" width="66.85546875" style="41" customWidth="1"/>
    <col min="12" max="13" width="15.7109375" style="2"/>
    <col min="14" max="14" width="45.85546875" style="2" customWidth="1"/>
    <col min="15" max="16384" width="15.7109375" style="2"/>
  </cols>
  <sheetData>
    <row r="1" spans="1:14" ht="46.5" customHeight="1" x14ac:dyDescent="0.35">
      <c r="A1" s="36" t="s">
        <v>484</v>
      </c>
      <c r="B1" s="36"/>
      <c r="C1" s="36"/>
      <c r="D1" s="36"/>
      <c r="E1" s="36"/>
      <c r="F1" s="36"/>
      <c r="G1" s="36"/>
      <c r="H1" s="36"/>
      <c r="I1" s="36"/>
      <c r="J1" s="36"/>
      <c r="K1" s="36"/>
    </row>
    <row r="2" spans="1:14" ht="46.5" customHeight="1" x14ac:dyDescent="0.25">
      <c r="A2" s="44" t="s">
        <v>502</v>
      </c>
      <c r="B2" s="44"/>
      <c r="D2" s="43" t="s">
        <v>503</v>
      </c>
      <c r="E2" s="43"/>
      <c r="G2" s="45" t="s">
        <v>504</v>
      </c>
      <c r="H2" s="45"/>
      <c r="J2" s="46" t="s">
        <v>507</v>
      </c>
      <c r="K2" s="46"/>
      <c r="M2" s="59" t="s">
        <v>516</v>
      </c>
      <c r="N2" s="59"/>
    </row>
    <row r="3" spans="1:14" ht="46.5" customHeight="1" x14ac:dyDescent="0.25">
      <c r="A3" s="40" t="s">
        <v>451</v>
      </c>
      <c r="B3" s="40" t="s">
        <v>452</v>
      </c>
      <c r="D3" s="39" t="s">
        <v>494</v>
      </c>
      <c r="E3" s="39" t="s">
        <v>488</v>
      </c>
      <c r="G3" s="55" t="s">
        <v>499</v>
      </c>
      <c r="H3" s="55" t="s">
        <v>488</v>
      </c>
      <c r="J3" s="53" t="s">
        <v>451</v>
      </c>
      <c r="K3" s="53" t="s">
        <v>488</v>
      </c>
      <c r="M3" s="60" t="s">
        <v>517</v>
      </c>
      <c r="N3" s="60" t="s">
        <v>488</v>
      </c>
    </row>
    <row r="4" spans="1:14" ht="234" customHeight="1" x14ac:dyDescent="0.25">
      <c r="A4" s="38" t="s">
        <v>167</v>
      </c>
      <c r="B4" s="38">
        <f>SUM('Main Inventory'!K2:K140)</f>
        <v>56179</v>
      </c>
      <c r="D4" s="38" t="s">
        <v>490</v>
      </c>
      <c r="E4" s="38" t="s">
        <v>491</v>
      </c>
      <c r="G4" s="54" t="s">
        <v>478</v>
      </c>
      <c r="H4" s="54" t="s">
        <v>500</v>
      </c>
      <c r="J4" s="54" t="s">
        <v>505</v>
      </c>
      <c r="K4" s="54" t="s">
        <v>506</v>
      </c>
      <c r="M4" s="54" t="s">
        <v>511</v>
      </c>
      <c r="N4" s="54" t="s">
        <v>518</v>
      </c>
    </row>
    <row r="5" spans="1:14" ht="231.75" customHeight="1" x14ac:dyDescent="0.25">
      <c r="A5" s="38" t="s">
        <v>169</v>
      </c>
      <c r="B5" s="38" t="s">
        <v>486</v>
      </c>
      <c r="D5" s="38" t="s">
        <v>470</v>
      </c>
      <c r="E5" s="38" t="s">
        <v>492</v>
      </c>
      <c r="G5" s="54" t="s">
        <v>480</v>
      </c>
      <c r="H5" s="54" t="s">
        <v>501</v>
      </c>
      <c r="M5" s="54" t="s">
        <v>519</v>
      </c>
      <c r="N5" s="54" t="s">
        <v>520</v>
      </c>
    </row>
    <row r="6" spans="1:14" ht="151.5" customHeight="1" x14ac:dyDescent="0.25">
      <c r="A6" s="38" t="s">
        <v>444</v>
      </c>
      <c r="B6" s="38" t="s">
        <v>442</v>
      </c>
      <c r="D6" s="38" t="s">
        <v>482</v>
      </c>
      <c r="E6" s="38" t="s">
        <v>493</v>
      </c>
    </row>
    <row r="7" spans="1:14" ht="137.25" customHeight="1" x14ac:dyDescent="0.25">
      <c r="A7" s="38" t="s">
        <v>443</v>
      </c>
      <c r="B7" s="38" t="s">
        <v>446</v>
      </c>
      <c r="D7" s="38" t="s">
        <v>483</v>
      </c>
      <c r="E7" s="38" t="s">
        <v>495</v>
      </c>
    </row>
    <row r="8" spans="1:14" ht="135.75" customHeight="1" x14ac:dyDescent="0.25">
      <c r="A8" s="38" t="s">
        <v>368</v>
      </c>
      <c r="B8" s="38" t="s">
        <v>487</v>
      </c>
      <c r="D8" s="38" t="s">
        <v>471</v>
      </c>
      <c r="E8" s="38" t="s">
        <v>496</v>
      </c>
    </row>
    <row r="9" spans="1:14" ht="152.25" customHeight="1" x14ac:dyDescent="0.25">
      <c r="A9" s="38" t="s">
        <v>445</v>
      </c>
      <c r="B9" s="38" t="s">
        <v>454</v>
      </c>
      <c r="D9" s="38" t="s">
        <v>498</v>
      </c>
      <c r="E9" s="38" t="s">
        <v>497</v>
      </c>
    </row>
    <row r="10" spans="1:14" ht="46.5" customHeight="1" x14ac:dyDescent="0.25">
      <c r="A10" s="56" t="s">
        <v>447</v>
      </c>
      <c r="B10" s="38" t="s">
        <v>448</v>
      </c>
      <c r="D10" s="37"/>
      <c r="E10" s="37"/>
    </row>
    <row r="11" spans="1:14" ht="46.5" customHeight="1" x14ac:dyDescent="0.25">
      <c r="A11" s="57"/>
      <c r="B11" s="38" t="s">
        <v>449</v>
      </c>
      <c r="D11" s="37"/>
      <c r="E11" s="37"/>
    </row>
    <row r="12" spans="1:14" ht="46.5" customHeight="1" x14ac:dyDescent="0.25">
      <c r="A12" s="58"/>
      <c r="B12" s="38" t="s">
        <v>450</v>
      </c>
      <c r="D12" s="37"/>
      <c r="E12" s="37"/>
    </row>
    <row r="13" spans="1:14" ht="46.5" customHeight="1" x14ac:dyDescent="0.25">
      <c r="A13" s="38" t="s">
        <v>453</v>
      </c>
      <c r="B13" s="38" t="s">
        <v>477</v>
      </c>
      <c r="D13" s="37"/>
      <c r="E13" s="37"/>
    </row>
    <row r="14" spans="1:14" ht="46.5" customHeight="1" x14ac:dyDescent="0.25">
      <c r="A14" s="37"/>
      <c r="B14" s="37"/>
      <c r="D14" s="37"/>
      <c r="E14" s="37"/>
    </row>
  </sheetData>
  <mergeCells count="7">
    <mergeCell ref="J2:K2"/>
    <mergeCell ref="A1:K1"/>
    <mergeCell ref="M2:N2"/>
    <mergeCell ref="A2:B2"/>
    <mergeCell ref="A10:A12"/>
    <mergeCell ref="D2:E2"/>
    <mergeCell ref="G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4C3E0-239A-4F7B-84CC-D4F65BAB2510}">
  <dimension ref="B2:F7"/>
  <sheetViews>
    <sheetView showGridLines="0" workbookViewId="0">
      <selection activeCell="E2" sqref="E2:F2"/>
    </sheetView>
  </sheetViews>
  <sheetFormatPr defaultRowHeight="15" x14ac:dyDescent="0.25"/>
  <cols>
    <col min="2" max="2" width="15" customWidth="1"/>
    <col min="3" max="3" width="37.5703125" customWidth="1"/>
    <col min="5" max="5" width="34.42578125" customWidth="1"/>
    <col min="6" max="6" width="22.85546875" customWidth="1"/>
    <col min="7" max="7" width="12.42578125" customWidth="1"/>
    <col min="8" max="8" width="12.85546875" customWidth="1"/>
    <col min="9" max="9" width="15.140625" customWidth="1"/>
    <col min="10" max="10" width="15.42578125" customWidth="1"/>
  </cols>
  <sheetData>
    <row r="2" spans="2:6" x14ac:dyDescent="0.25">
      <c r="B2" s="51" t="s">
        <v>511</v>
      </c>
      <c r="C2" s="52"/>
      <c r="E2" s="51" t="s">
        <v>519</v>
      </c>
      <c r="F2" s="52"/>
    </row>
    <row r="3" spans="2:6" x14ac:dyDescent="0.25">
      <c r="B3" s="48" t="s">
        <v>508</v>
      </c>
      <c r="C3" s="49">
        <v>7</v>
      </c>
      <c r="E3" s="48" t="s">
        <v>513</v>
      </c>
      <c r="F3" s="10">
        <v>10</v>
      </c>
    </row>
    <row r="4" spans="2:6" x14ac:dyDescent="0.25">
      <c r="B4" s="10" t="s">
        <v>1</v>
      </c>
      <c r="C4" s="10" t="str">
        <f>_xlfn.XLOOKUP(C3,Table2[Part ID],Table2[Part Name],"ID Not Found")</f>
        <v>Transmission Mount Plate</v>
      </c>
      <c r="E4" s="50" t="s">
        <v>515</v>
      </c>
      <c r="F4" s="10">
        <v>7</v>
      </c>
    </row>
    <row r="5" spans="2:6" x14ac:dyDescent="0.25">
      <c r="B5" s="10" t="s">
        <v>509</v>
      </c>
      <c r="C5" s="10" t="str">
        <f>_xlfn.XLOOKUP(C3,Table2[Part ID],Table2[Drawer Location],"ID Not Found")</f>
        <v>Main Shop – Metal Components</v>
      </c>
      <c r="E5" s="10" t="s">
        <v>5</v>
      </c>
      <c r="F5" s="10" t="str">
        <f>IF(F4="","",_xlfn.XLOOKUP(F4,Table2[Part ID],Table2[Supplier]))</f>
        <v>SendCutSend</v>
      </c>
    </row>
    <row r="6" spans="2:6" x14ac:dyDescent="0.25">
      <c r="B6" s="10" t="s">
        <v>510</v>
      </c>
      <c r="C6" s="10" t="str">
        <f>_xlfn.XLOOKUP(C3,Table2[Part ID],Table2[Stock Status],"ID Not Found")</f>
        <v>OK</v>
      </c>
      <c r="E6" s="10" t="s">
        <v>514</v>
      </c>
      <c r="F6" s="10">
        <f>IF(F4="","",_xlfn.XLOOKUP(F4,Table2[Part ID],Table2[Unit Cost (USD)]))</f>
        <v>65</v>
      </c>
    </row>
    <row r="7" spans="2:6" x14ac:dyDescent="0.25">
      <c r="B7" s="10" t="s">
        <v>455</v>
      </c>
      <c r="C7" s="10" t="str">
        <f>_xlfn.XLOOKUP(C3,Table2[Part ID],Table2[Criticality],"-")</f>
        <v>B</v>
      </c>
      <c r="E7" s="10" t="s">
        <v>512</v>
      </c>
      <c r="F7" s="10">
        <f>F3*F6</f>
        <v>650</v>
      </c>
    </row>
  </sheetData>
  <mergeCells count="2">
    <mergeCell ref="B2:C2"/>
    <mergeCell ref="E2:F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3BBBFC5-D40D-480C-8657-B24A6A25852A}">
          <x14:formula1>
            <xm:f>'Main Inventory'!$C$2:$C$140</xm:f>
          </x14:formula1>
          <xm:sqref>C3 F4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C262-728A-4A34-B5DE-0C8B08480646}">
  <dimension ref="A2:I75"/>
  <sheetViews>
    <sheetView topLeftCell="A25" zoomScale="85" zoomScaleNormal="85" workbookViewId="0">
      <selection activeCell="F46" sqref="F46"/>
    </sheetView>
  </sheetViews>
  <sheetFormatPr defaultRowHeight="18" customHeight="1" x14ac:dyDescent="0.25"/>
  <cols>
    <col min="1" max="1" width="24.42578125" bestFit="1" customWidth="1"/>
    <col min="2" max="2" width="19.140625" bestFit="1" customWidth="1"/>
    <col min="3" max="3" width="15.5703125" bestFit="1" customWidth="1"/>
    <col min="4" max="4" width="20" bestFit="1" customWidth="1"/>
    <col min="5" max="5" width="23" style="2" bestFit="1" customWidth="1"/>
    <col min="6" max="6" width="15.42578125" bestFit="1" customWidth="1"/>
    <col min="7" max="7" width="23" bestFit="1" customWidth="1"/>
    <col min="8" max="8" width="20.42578125" bestFit="1" customWidth="1"/>
    <col min="9" max="9" width="28" bestFit="1" customWidth="1"/>
    <col min="10" max="10" width="20.42578125" bestFit="1" customWidth="1"/>
    <col min="11" max="11" width="28" bestFit="1" customWidth="1"/>
    <col min="12" max="12" width="20.42578125" bestFit="1" customWidth="1"/>
    <col min="13" max="13" width="28" bestFit="1" customWidth="1"/>
    <col min="14" max="14" width="20.42578125" bestFit="1" customWidth="1"/>
    <col min="15" max="15" width="28" bestFit="1" customWidth="1"/>
    <col min="16" max="16" width="20.42578125" bestFit="1" customWidth="1"/>
    <col min="17" max="17" width="28" bestFit="1" customWidth="1"/>
    <col min="18" max="18" width="20.42578125" bestFit="1" customWidth="1"/>
    <col min="19" max="19" width="28" bestFit="1" customWidth="1"/>
    <col min="20" max="20" width="20.42578125" bestFit="1" customWidth="1"/>
    <col min="21" max="21" width="28" bestFit="1" customWidth="1"/>
  </cols>
  <sheetData>
    <row r="2" spans="1:9" ht="18" customHeight="1" x14ac:dyDescent="0.25">
      <c r="A2" s="28" t="s">
        <v>489</v>
      </c>
      <c r="B2" s="27"/>
      <c r="C2" s="27"/>
      <c r="D2" s="26"/>
      <c r="E2" s="29"/>
      <c r="F2" s="26"/>
      <c r="G2" s="26"/>
    </row>
    <row r="3" spans="1:9" ht="18" customHeight="1" x14ac:dyDescent="0.25">
      <c r="B3" s="14" t="s">
        <v>460</v>
      </c>
      <c r="E3"/>
    </row>
    <row r="4" spans="1:9" ht="18" customHeight="1" x14ac:dyDescent="0.25">
      <c r="B4" t="s">
        <v>139</v>
      </c>
      <c r="D4" t="s">
        <v>153</v>
      </c>
      <c r="E4"/>
      <c r="F4" t="s">
        <v>138</v>
      </c>
      <c r="H4" t="s">
        <v>474</v>
      </c>
      <c r="I4" t="s">
        <v>475</v>
      </c>
    </row>
    <row r="5" spans="1:9" ht="18" customHeight="1" x14ac:dyDescent="0.25">
      <c r="A5" s="14" t="s">
        <v>2</v>
      </c>
      <c r="B5" t="s">
        <v>469</v>
      </c>
      <c r="C5" t="s">
        <v>463</v>
      </c>
      <c r="D5" t="s">
        <v>469</v>
      </c>
      <c r="E5" t="s">
        <v>463</v>
      </c>
      <c r="F5" t="s">
        <v>469</v>
      </c>
      <c r="G5" t="s">
        <v>463</v>
      </c>
    </row>
    <row r="6" spans="1:9" ht="18" customHeight="1" x14ac:dyDescent="0.25">
      <c r="A6" s="15" t="s">
        <v>159</v>
      </c>
      <c r="B6" s="16">
        <v>1</v>
      </c>
      <c r="C6" s="16">
        <v>108</v>
      </c>
      <c r="D6" s="16"/>
      <c r="E6" s="16"/>
      <c r="F6" s="16"/>
      <c r="G6" s="16"/>
      <c r="H6" s="16">
        <v>1</v>
      </c>
      <c r="I6" s="16">
        <v>108</v>
      </c>
    </row>
    <row r="7" spans="1:9" ht="18" customHeight="1" x14ac:dyDescent="0.25">
      <c r="A7" s="15" t="s">
        <v>160</v>
      </c>
      <c r="B7" s="16">
        <v>1</v>
      </c>
      <c r="C7" s="16">
        <v>105</v>
      </c>
      <c r="D7" s="16">
        <v>8</v>
      </c>
      <c r="E7" s="16">
        <v>3030</v>
      </c>
      <c r="F7" s="16"/>
      <c r="G7" s="16"/>
      <c r="H7" s="16">
        <v>9</v>
      </c>
      <c r="I7" s="16">
        <v>3135</v>
      </c>
    </row>
    <row r="8" spans="1:9" ht="18" customHeight="1" x14ac:dyDescent="0.25">
      <c r="A8" s="15" t="s">
        <v>161</v>
      </c>
      <c r="B8" s="16">
        <v>1</v>
      </c>
      <c r="C8" s="16">
        <v>180</v>
      </c>
      <c r="D8" s="16"/>
      <c r="E8" s="16"/>
      <c r="F8" s="16"/>
      <c r="G8" s="16"/>
      <c r="H8" s="16">
        <v>1</v>
      </c>
      <c r="I8" s="16">
        <v>180</v>
      </c>
    </row>
    <row r="9" spans="1:9" ht="18" customHeight="1" x14ac:dyDescent="0.25">
      <c r="A9" s="15" t="s">
        <v>155</v>
      </c>
      <c r="B9" s="16">
        <v>4</v>
      </c>
      <c r="C9" s="16">
        <v>1845</v>
      </c>
      <c r="D9" s="16"/>
      <c r="E9" s="16"/>
      <c r="F9" s="16">
        <v>8</v>
      </c>
      <c r="G9" s="16">
        <v>3380</v>
      </c>
      <c r="H9" s="16">
        <v>12</v>
      </c>
      <c r="I9" s="16">
        <v>5225</v>
      </c>
    </row>
    <row r="10" spans="1:9" ht="18" customHeight="1" x14ac:dyDescent="0.25">
      <c r="A10" s="15" t="s">
        <v>157</v>
      </c>
      <c r="B10" s="16">
        <v>5</v>
      </c>
      <c r="C10" s="16">
        <v>1226.5</v>
      </c>
      <c r="D10" s="16"/>
      <c r="E10" s="16"/>
      <c r="F10" s="16">
        <v>3</v>
      </c>
      <c r="G10" s="16">
        <v>331</v>
      </c>
      <c r="H10" s="16">
        <v>8</v>
      </c>
      <c r="I10" s="16">
        <v>1557.5</v>
      </c>
    </row>
    <row r="11" spans="1:9" ht="18" customHeight="1" x14ac:dyDescent="0.25">
      <c r="A11" s="15" t="s">
        <v>156</v>
      </c>
      <c r="B11" s="16">
        <v>3</v>
      </c>
      <c r="C11" s="16">
        <v>3050</v>
      </c>
      <c r="D11" s="16"/>
      <c r="E11" s="16"/>
      <c r="F11" s="16">
        <v>9</v>
      </c>
      <c r="G11" s="16">
        <v>7190</v>
      </c>
      <c r="H11" s="16">
        <v>12</v>
      </c>
      <c r="I11" s="16">
        <v>10240</v>
      </c>
    </row>
    <row r="12" spans="1:9" ht="18" customHeight="1" x14ac:dyDescent="0.25">
      <c r="A12" s="15" t="s">
        <v>158</v>
      </c>
      <c r="B12" s="16"/>
      <c r="C12" s="16"/>
      <c r="D12" s="16">
        <v>2</v>
      </c>
      <c r="E12" s="16">
        <v>595</v>
      </c>
      <c r="F12" s="16"/>
      <c r="G12" s="16"/>
      <c r="H12" s="16">
        <v>2</v>
      </c>
      <c r="I12" s="16">
        <v>595</v>
      </c>
    </row>
    <row r="13" spans="1:9" ht="18" customHeight="1" x14ac:dyDescent="0.25">
      <c r="A13" s="15" t="s">
        <v>461</v>
      </c>
      <c r="B13" s="16">
        <v>15</v>
      </c>
      <c r="C13" s="16">
        <v>6514.5</v>
      </c>
      <c r="D13" s="16">
        <v>10</v>
      </c>
      <c r="E13" s="16">
        <v>3625</v>
      </c>
      <c r="F13" s="16">
        <v>20</v>
      </c>
      <c r="G13" s="16">
        <v>10901</v>
      </c>
      <c r="H13" s="16">
        <v>45</v>
      </c>
      <c r="I13" s="16">
        <v>21040.5</v>
      </c>
    </row>
    <row r="17" spans="1:8" ht="18" customHeight="1" x14ac:dyDescent="0.25">
      <c r="A17" s="14" t="s">
        <v>470</v>
      </c>
      <c r="B17" s="14" t="s">
        <v>472</v>
      </c>
      <c r="F17" s="31"/>
      <c r="G17" s="28" t="s">
        <v>471</v>
      </c>
      <c r="H17" s="28"/>
    </row>
    <row r="18" spans="1:8" ht="18" customHeight="1" x14ac:dyDescent="0.25">
      <c r="A18" s="14" t="s">
        <v>3</v>
      </c>
      <c r="B18" t="s">
        <v>465</v>
      </c>
      <c r="C18" t="s">
        <v>466</v>
      </c>
      <c r="D18" t="s">
        <v>461</v>
      </c>
      <c r="E18" s="29"/>
      <c r="G18" s="14" t="s">
        <v>455</v>
      </c>
      <c r="H18" t="s">
        <v>463</v>
      </c>
    </row>
    <row r="19" spans="1:8" ht="18" customHeight="1" x14ac:dyDescent="0.25">
      <c r="A19" s="15" t="s">
        <v>159</v>
      </c>
      <c r="B19" s="16">
        <v>6</v>
      </c>
      <c r="C19" s="16">
        <v>2</v>
      </c>
      <c r="D19" s="16">
        <v>8</v>
      </c>
      <c r="G19" s="15" t="s">
        <v>456</v>
      </c>
      <c r="H19" s="16">
        <v>20345</v>
      </c>
    </row>
    <row r="20" spans="1:8" ht="18" customHeight="1" x14ac:dyDescent="0.25">
      <c r="A20" s="15" t="s">
        <v>160</v>
      </c>
      <c r="B20" s="16">
        <v>21</v>
      </c>
      <c r="C20" s="16">
        <v>2</v>
      </c>
      <c r="D20" s="16">
        <v>23</v>
      </c>
      <c r="G20" s="15" t="s">
        <v>458</v>
      </c>
      <c r="H20" s="16">
        <v>26459.5</v>
      </c>
    </row>
    <row r="21" spans="1:8" ht="18" customHeight="1" x14ac:dyDescent="0.25">
      <c r="A21" s="15" t="s">
        <v>161</v>
      </c>
      <c r="B21" s="16">
        <v>13</v>
      </c>
      <c r="C21" s="16">
        <v>2</v>
      </c>
      <c r="D21" s="16">
        <v>15</v>
      </c>
      <c r="G21" s="15" t="s">
        <v>457</v>
      </c>
      <c r="H21" s="16">
        <v>9374.5</v>
      </c>
    </row>
    <row r="22" spans="1:8" ht="18" customHeight="1" x14ac:dyDescent="0.25">
      <c r="A22" s="15" t="s">
        <v>155</v>
      </c>
      <c r="B22" s="16">
        <v>34</v>
      </c>
      <c r="C22" s="16">
        <v>2</v>
      </c>
      <c r="D22" s="16">
        <v>36</v>
      </c>
      <c r="G22" s="15" t="s">
        <v>461</v>
      </c>
      <c r="H22" s="16">
        <v>56179</v>
      </c>
    </row>
    <row r="23" spans="1:8" ht="18" customHeight="1" x14ac:dyDescent="0.25">
      <c r="A23" s="15" t="s">
        <v>157</v>
      </c>
      <c r="B23" s="16">
        <v>17</v>
      </c>
      <c r="C23" s="16">
        <v>1</v>
      </c>
      <c r="D23" s="16">
        <v>18</v>
      </c>
    </row>
    <row r="24" spans="1:8" ht="18" customHeight="1" x14ac:dyDescent="0.25">
      <c r="A24" s="15" t="s">
        <v>156</v>
      </c>
      <c r="B24" s="16">
        <v>31</v>
      </c>
      <c r="C24" s="16">
        <v>2</v>
      </c>
      <c r="D24" s="16">
        <v>33</v>
      </c>
      <c r="G24" s="28" t="s">
        <v>473</v>
      </c>
      <c r="H24" s="28"/>
    </row>
    <row r="25" spans="1:8" ht="18" customHeight="1" x14ac:dyDescent="0.25">
      <c r="A25" s="15" t="s">
        <v>158</v>
      </c>
      <c r="B25" s="16">
        <v>3</v>
      </c>
      <c r="C25" s="16">
        <v>3</v>
      </c>
      <c r="D25" s="16">
        <v>6</v>
      </c>
      <c r="G25" s="14" t="s">
        <v>455</v>
      </c>
      <c r="H25" t="s">
        <v>456</v>
      </c>
    </row>
    <row r="26" spans="1:8" ht="18" customHeight="1" x14ac:dyDescent="0.25">
      <c r="A26" s="15" t="s">
        <v>461</v>
      </c>
      <c r="B26" s="16">
        <v>125</v>
      </c>
      <c r="C26" s="16">
        <v>14</v>
      </c>
      <c r="D26" s="16">
        <v>139</v>
      </c>
      <c r="G26" s="14" t="s">
        <v>445</v>
      </c>
      <c r="H26" t="s">
        <v>466</v>
      </c>
    </row>
    <row r="28" spans="1:8" ht="18" customHeight="1" x14ac:dyDescent="0.25">
      <c r="A28" s="28" t="s">
        <v>482</v>
      </c>
      <c r="B28" s="28"/>
      <c r="C28" s="28"/>
      <c r="D28" s="28"/>
      <c r="G28" s="14" t="s">
        <v>462</v>
      </c>
      <c r="H28" t="s">
        <v>464</v>
      </c>
    </row>
    <row r="29" spans="1:8" ht="18" customHeight="1" x14ac:dyDescent="0.25">
      <c r="A29" s="14" t="s">
        <v>2</v>
      </c>
      <c r="B29" t="s">
        <v>476</v>
      </c>
      <c r="C29" s="32"/>
      <c r="D29" s="32"/>
      <c r="G29" s="15" t="s">
        <v>146</v>
      </c>
      <c r="H29" s="16">
        <v>1</v>
      </c>
    </row>
    <row r="30" spans="1:8" ht="18" customHeight="1" x14ac:dyDescent="0.25">
      <c r="A30" s="14" t="s">
        <v>455</v>
      </c>
      <c r="B30" t="s">
        <v>476</v>
      </c>
      <c r="C30" s="32"/>
      <c r="D30" s="32"/>
      <c r="G30" s="15" t="s">
        <v>84</v>
      </c>
      <c r="H30" s="16">
        <v>1</v>
      </c>
    </row>
    <row r="31" spans="1:8" ht="18" customHeight="1" x14ac:dyDescent="0.25">
      <c r="A31" s="32"/>
      <c r="B31" s="32"/>
      <c r="C31" s="32"/>
      <c r="D31" s="32"/>
      <c r="G31" s="15" t="s">
        <v>142</v>
      </c>
      <c r="H31" s="16">
        <v>1</v>
      </c>
    </row>
    <row r="32" spans="1:8" ht="18" customHeight="1" x14ac:dyDescent="0.25">
      <c r="A32" s="14" t="s">
        <v>462</v>
      </c>
      <c r="B32" t="s">
        <v>467</v>
      </c>
      <c r="C32" t="s">
        <v>464</v>
      </c>
      <c r="D32" t="s">
        <v>481</v>
      </c>
      <c r="G32" s="15" t="s">
        <v>461</v>
      </c>
      <c r="H32" s="16">
        <v>3</v>
      </c>
    </row>
    <row r="33" spans="1:9" ht="18" customHeight="1" x14ac:dyDescent="0.25">
      <c r="A33" s="15" t="s">
        <v>96</v>
      </c>
      <c r="B33" s="16">
        <v>1</v>
      </c>
      <c r="C33" s="16">
        <v>3</v>
      </c>
      <c r="D33" s="16">
        <v>2</v>
      </c>
    </row>
    <row r="34" spans="1:9" ht="15" x14ac:dyDescent="0.25">
      <c r="A34" s="15" t="s">
        <v>92</v>
      </c>
      <c r="B34" s="16">
        <v>1</v>
      </c>
      <c r="C34" s="16">
        <v>4</v>
      </c>
      <c r="D34" s="16">
        <v>3</v>
      </c>
    </row>
    <row r="35" spans="1:9" ht="18" customHeight="1" x14ac:dyDescent="0.25">
      <c r="A35" s="15" t="s">
        <v>20</v>
      </c>
      <c r="B35" s="16">
        <v>1</v>
      </c>
      <c r="C35" s="16">
        <v>2</v>
      </c>
      <c r="D35" s="16">
        <v>1</v>
      </c>
    </row>
    <row r="36" spans="1:9" ht="18" customHeight="1" x14ac:dyDescent="0.25">
      <c r="A36" s="15" t="s">
        <v>82</v>
      </c>
      <c r="B36" s="16">
        <v>1</v>
      </c>
      <c r="C36" s="16">
        <v>2</v>
      </c>
      <c r="D36" s="16">
        <v>1</v>
      </c>
      <c r="G36" s="14" t="s">
        <v>483</v>
      </c>
      <c r="H36" s="14" t="s">
        <v>460</v>
      </c>
    </row>
    <row r="37" spans="1:9" ht="18" customHeight="1" x14ac:dyDescent="0.25">
      <c r="A37" s="15" t="s">
        <v>91</v>
      </c>
      <c r="B37" s="16">
        <v>1</v>
      </c>
      <c r="C37" s="16">
        <v>2</v>
      </c>
      <c r="D37" s="16">
        <v>1</v>
      </c>
      <c r="G37" s="14" t="s">
        <v>462</v>
      </c>
      <c r="H37" t="s">
        <v>466</v>
      </c>
      <c r="I37" t="s">
        <v>461</v>
      </c>
    </row>
    <row r="38" spans="1:9" ht="18" customHeight="1" x14ac:dyDescent="0.25">
      <c r="A38" s="15" t="s">
        <v>102</v>
      </c>
      <c r="B38" s="16">
        <v>50</v>
      </c>
      <c r="C38" s="16">
        <v>500</v>
      </c>
      <c r="D38" s="16">
        <v>450</v>
      </c>
      <c r="G38" s="15" t="s">
        <v>141</v>
      </c>
      <c r="H38" s="16">
        <v>1000</v>
      </c>
      <c r="I38" s="16">
        <v>1000</v>
      </c>
    </row>
    <row r="39" spans="1:9" ht="18" customHeight="1" x14ac:dyDescent="0.25">
      <c r="A39" s="15" t="s">
        <v>79</v>
      </c>
      <c r="B39" s="16">
        <v>4</v>
      </c>
      <c r="C39" s="16">
        <v>8</v>
      </c>
      <c r="D39" s="16">
        <v>4</v>
      </c>
      <c r="G39" s="15" t="s">
        <v>151</v>
      </c>
      <c r="H39" s="16">
        <v>0</v>
      </c>
      <c r="I39" s="16">
        <v>0</v>
      </c>
    </row>
    <row r="40" spans="1:9" ht="18" customHeight="1" x14ac:dyDescent="0.25">
      <c r="A40" s="15" t="s">
        <v>145</v>
      </c>
      <c r="B40" s="16">
        <v>1</v>
      </c>
      <c r="C40" s="16">
        <v>2</v>
      </c>
      <c r="D40" s="16">
        <v>1</v>
      </c>
      <c r="G40" s="15" t="s">
        <v>154</v>
      </c>
      <c r="H40" s="16">
        <v>10344</v>
      </c>
      <c r="I40" s="16">
        <v>10344</v>
      </c>
    </row>
    <row r="41" spans="1:9" ht="18" customHeight="1" x14ac:dyDescent="0.25">
      <c r="A41" s="15" t="s">
        <v>94</v>
      </c>
      <c r="B41" s="16">
        <v>1</v>
      </c>
      <c r="C41" s="16">
        <v>3</v>
      </c>
      <c r="D41" s="16">
        <v>2</v>
      </c>
      <c r="G41" s="15" t="s">
        <v>153</v>
      </c>
      <c r="H41" s="16">
        <v>9095</v>
      </c>
      <c r="I41" s="16">
        <v>9095</v>
      </c>
    </row>
    <row r="42" spans="1:9" ht="18" customHeight="1" x14ac:dyDescent="0.25">
      <c r="A42" s="15" t="s">
        <v>75</v>
      </c>
      <c r="B42" s="16">
        <v>4</v>
      </c>
      <c r="C42" s="16">
        <v>10</v>
      </c>
      <c r="D42" s="16">
        <v>6</v>
      </c>
      <c r="G42" s="15" t="s">
        <v>140</v>
      </c>
      <c r="H42" s="16">
        <v>2475</v>
      </c>
      <c r="I42" s="16">
        <v>2475</v>
      </c>
    </row>
    <row r="43" spans="1:9" ht="18" customHeight="1" x14ac:dyDescent="0.25">
      <c r="A43" s="15" t="s">
        <v>81</v>
      </c>
      <c r="B43" s="16">
        <v>2</v>
      </c>
      <c r="C43" s="16">
        <v>20</v>
      </c>
      <c r="D43" s="16">
        <v>18</v>
      </c>
      <c r="G43" s="15" t="s">
        <v>461</v>
      </c>
      <c r="H43" s="16">
        <v>168606</v>
      </c>
      <c r="I43" s="16">
        <v>168606</v>
      </c>
    </row>
    <row r="44" spans="1:9" ht="18" customHeight="1" x14ac:dyDescent="0.25">
      <c r="A44" s="15" t="s">
        <v>149</v>
      </c>
      <c r="B44" s="16">
        <v>1</v>
      </c>
      <c r="C44" s="16">
        <v>2</v>
      </c>
      <c r="D44" s="16">
        <v>1</v>
      </c>
    </row>
    <row r="45" spans="1:9" ht="18" customHeight="1" x14ac:dyDescent="0.25">
      <c r="A45" s="15" t="s">
        <v>83</v>
      </c>
      <c r="B45" s="16">
        <v>1</v>
      </c>
      <c r="C45" s="16">
        <v>4</v>
      </c>
      <c r="D45" s="16">
        <v>3</v>
      </c>
    </row>
    <row r="46" spans="1:9" ht="18" customHeight="1" x14ac:dyDescent="0.25">
      <c r="A46" s="15" t="s">
        <v>12</v>
      </c>
      <c r="B46" s="16">
        <v>1</v>
      </c>
      <c r="C46" s="16">
        <v>3</v>
      </c>
      <c r="D46" s="16">
        <v>2</v>
      </c>
    </row>
    <row r="47" spans="1:9" ht="18" customHeight="1" x14ac:dyDescent="0.25">
      <c r="A47" s="15" t="s">
        <v>88</v>
      </c>
      <c r="B47" s="16">
        <v>1</v>
      </c>
      <c r="C47" s="16">
        <v>2</v>
      </c>
      <c r="D47" s="16">
        <v>1</v>
      </c>
    </row>
    <row r="48" spans="1:9" ht="18" customHeight="1" x14ac:dyDescent="0.25">
      <c r="A48" s="15" t="s">
        <v>16</v>
      </c>
      <c r="B48" s="16">
        <v>1</v>
      </c>
      <c r="C48" s="16">
        <v>2</v>
      </c>
      <c r="D48" s="16">
        <v>1</v>
      </c>
    </row>
    <row r="49" spans="1:4" ht="18" customHeight="1" x14ac:dyDescent="0.25">
      <c r="A49" s="15" t="s">
        <v>18</v>
      </c>
      <c r="B49" s="16">
        <v>1</v>
      </c>
      <c r="C49" s="16">
        <v>30</v>
      </c>
      <c r="D49" s="16">
        <v>29</v>
      </c>
    </row>
    <row r="50" spans="1:4" ht="18" customHeight="1" x14ac:dyDescent="0.25">
      <c r="A50" s="15" t="s">
        <v>86</v>
      </c>
      <c r="B50" s="16">
        <v>3</v>
      </c>
      <c r="C50" s="16">
        <v>6</v>
      </c>
      <c r="D50" s="16">
        <v>3</v>
      </c>
    </row>
    <row r="51" spans="1:4" ht="18" customHeight="1" x14ac:dyDescent="0.25">
      <c r="A51" s="15" t="s">
        <v>85</v>
      </c>
      <c r="B51" s="16">
        <v>1</v>
      </c>
      <c r="C51" s="16">
        <v>20</v>
      </c>
      <c r="D51" s="16">
        <v>19</v>
      </c>
    </row>
    <row r="52" spans="1:4" ht="18" customHeight="1" x14ac:dyDescent="0.25">
      <c r="A52" s="15" t="s">
        <v>95</v>
      </c>
      <c r="B52" s="16">
        <v>1</v>
      </c>
      <c r="C52" s="16">
        <v>2</v>
      </c>
      <c r="D52" s="16">
        <v>1</v>
      </c>
    </row>
    <row r="53" spans="1:4" ht="18" customHeight="1" x14ac:dyDescent="0.25">
      <c r="A53" s="15" t="s">
        <v>101</v>
      </c>
      <c r="B53" s="16">
        <v>1</v>
      </c>
      <c r="C53" s="16">
        <v>3</v>
      </c>
      <c r="D53" s="16">
        <v>2</v>
      </c>
    </row>
    <row r="54" spans="1:4" ht="18" customHeight="1" x14ac:dyDescent="0.25">
      <c r="A54" s="15" t="s">
        <v>150</v>
      </c>
      <c r="B54" s="16">
        <v>1</v>
      </c>
      <c r="C54" s="16">
        <v>2</v>
      </c>
      <c r="D54" s="16">
        <v>1</v>
      </c>
    </row>
    <row r="55" spans="1:4" ht="18" customHeight="1" x14ac:dyDescent="0.25">
      <c r="A55" s="15" t="s">
        <v>126</v>
      </c>
      <c r="B55" s="16">
        <v>1</v>
      </c>
      <c r="C55" s="16">
        <v>10</v>
      </c>
      <c r="D55" s="16">
        <v>9</v>
      </c>
    </row>
    <row r="56" spans="1:4" ht="18" customHeight="1" x14ac:dyDescent="0.25">
      <c r="A56" s="15" t="s">
        <v>89</v>
      </c>
      <c r="B56" s="16">
        <v>1</v>
      </c>
      <c r="C56" s="16">
        <v>3</v>
      </c>
      <c r="D56" s="16">
        <v>2</v>
      </c>
    </row>
    <row r="57" spans="1:4" ht="18" customHeight="1" x14ac:dyDescent="0.25">
      <c r="A57" s="15" t="s">
        <v>144</v>
      </c>
      <c r="B57" s="16">
        <v>1</v>
      </c>
      <c r="C57" s="16">
        <v>4</v>
      </c>
      <c r="D57" s="16">
        <v>3</v>
      </c>
    </row>
    <row r="58" spans="1:4" ht="18" customHeight="1" x14ac:dyDescent="0.25">
      <c r="A58" s="15" t="s">
        <v>99</v>
      </c>
      <c r="B58" s="16">
        <v>1</v>
      </c>
      <c r="C58" s="16">
        <v>4</v>
      </c>
      <c r="D58" s="16">
        <v>3</v>
      </c>
    </row>
    <row r="59" spans="1:4" ht="18" customHeight="1" x14ac:dyDescent="0.25">
      <c r="A59" s="15" t="s">
        <v>90</v>
      </c>
      <c r="B59" s="16">
        <v>1</v>
      </c>
      <c r="C59" s="16">
        <v>1</v>
      </c>
      <c r="D59" s="16">
        <v>0</v>
      </c>
    </row>
    <row r="60" spans="1:4" ht="18" customHeight="1" x14ac:dyDescent="0.25">
      <c r="A60" s="15" t="s">
        <v>93</v>
      </c>
      <c r="B60" s="16">
        <v>1</v>
      </c>
      <c r="C60" s="16">
        <v>2</v>
      </c>
      <c r="D60" s="16">
        <v>1</v>
      </c>
    </row>
    <row r="61" spans="1:4" ht="18" customHeight="1" x14ac:dyDescent="0.25">
      <c r="A61" s="15" t="s">
        <v>17</v>
      </c>
      <c r="B61" s="16">
        <v>50</v>
      </c>
      <c r="C61" s="16">
        <v>1000</v>
      </c>
      <c r="D61" s="16">
        <v>950</v>
      </c>
    </row>
    <row r="62" spans="1:4" ht="18" customHeight="1" x14ac:dyDescent="0.25">
      <c r="A62" s="15" t="s">
        <v>10</v>
      </c>
      <c r="B62" s="16">
        <v>1</v>
      </c>
      <c r="C62" s="16">
        <v>100</v>
      </c>
      <c r="D62" s="16">
        <v>99</v>
      </c>
    </row>
    <row r="63" spans="1:4" ht="18" customHeight="1" x14ac:dyDescent="0.25">
      <c r="A63" s="15" t="s">
        <v>19</v>
      </c>
      <c r="B63" s="16">
        <v>1</v>
      </c>
      <c r="C63" s="16">
        <v>8</v>
      </c>
      <c r="D63" s="16">
        <v>7</v>
      </c>
    </row>
    <row r="64" spans="1:4" ht="18" customHeight="1" x14ac:dyDescent="0.25">
      <c r="A64" s="15" t="s">
        <v>148</v>
      </c>
      <c r="B64" s="16">
        <v>1</v>
      </c>
      <c r="C64" s="16">
        <v>1</v>
      </c>
      <c r="D64" s="16">
        <v>0</v>
      </c>
    </row>
    <row r="65" spans="1:4" ht="18" customHeight="1" x14ac:dyDescent="0.25">
      <c r="A65" s="15" t="s">
        <v>15</v>
      </c>
      <c r="B65" s="16">
        <v>1</v>
      </c>
      <c r="C65" s="16">
        <v>4</v>
      </c>
      <c r="D65" s="16">
        <v>3</v>
      </c>
    </row>
    <row r="66" spans="1:4" ht="18" customHeight="1" x14ac:dyDescent="0.25">
      <c r="A66" s="15" t="s">
        <v>11</v>
      </c>
      <c r="B66" s="16">
        <v>1</v>
      </c>
      <c r="C66" s="16">
        <v>2</v>
      </c>
      <c r="D66" s="16">
        <v>1</v>
      </c>
    </row>
    <row r="67" spans="1:4" ht="18" customHeight="1" x14ac:dyDescent="0.25">
      <c r="A67" s="15" t="s">
        <v>80</v>
      </c>
      <c r="B67" s="16">
        <v>1</v>
      </c>
      <c r="C67" s="16">
        <v>6</v>
      </c>
      <c r="D67" s="16">
        <v>5</v>
      </c>
    </row>
    <row r="68" spans="1:4" ht="18" customHeight="1" x14ac:dyDescent="0.25">
      <c r="A68" s="15" t="s">
        <v>9</v>
      </c>
      <c r="B68" s="16">
        <v>1</v>
      </c>
      <c r="C68" s="16">
        <v>150</v>
      </c>
      <c r="D68" s="16">
        <v>149</v>
      </c>
    </row>
    <row r="69" spans="1:4" ht="18" customHeight="1" x14ac:dyDescent="0.25">
      <c r="A69" s="15" t="s">
        <v>98</v>
      </c>
      <c r="B69" s="16">
        <v>1</v>
      </c>
      <c r="C69" s="16">
        <v>6</v>
      </c>
      <c r="D69" s="16">
        <v>5</v>
      </c>
    </row>
    <row r="70" spans="1:4" ht="18" customHeight="1" x14ac:dyDescent="0.25">
      <c r="A70" s="15" t="s">
        <v>87</v>
      </c>
      <c r="B70" s="16">
        <v>2</v>
      </c>
      <c r="C70" s="16">
        <v>4</v>
      </c>
      <c r="D70" s="16">
        <v>2</v>
      </c>
    </row>
    <row r="71" spans="1:4" ht="18" customHeight="1" x14ac:dyDescent="0.25">
      <c r="A71" s="15" t="s">
        <v>13</v>
      </c>
      <c r="B71" s="16">
        <v>1</v>
      </c>
      <c r="C71" s="16">
        <v>3</v>
      </c>
      <c r="D71" s="16">
        <v>2</v>
      </c>
    </row>
    <row r="72" spans="1:4" ht="18" customHeight="1" x14ac:dyDescent="0.25">
      <c r="A72" s="15" t="s">
        <v>21</v>
      </c>
      <c r="B72" s="16">
        <v>4</v>
      </c>
      <c r="C72" s="16">
        <v>40</v>
      </c>
      <c r="D72" s="16">
        <v>36</v>
      </c>
    </row>
    <row r="73" spans="1:4" ht="18" customHeight="1" x14ac:dyDescent="0.25">
      <c r="A73" s="15" t="s">
        <v>97</v>
      </c>
      <c r="B73" s="16">
        <v>1</v>
      </c>
      <c r="C73" s="16">
        <v>6</v>
      </c>
      <c r="D73" s="16">
        <v>5</v>
      </c>
    </row>
    <row r="74" spans="1:4" ht="18" customHeight="1" x14ac:dyDescent="0.25">
      <c r="A74" s="15" t="s">
        <v>100</v>
      </c>
      <c r="B74" s="16">
        <v>1</v>
      </c>
      <c r="C74" s="16">
        <v>250</v>
      </c>
      <c r="D74" s="16">
        <v>249</v>
      </c>
    </row>
    <row r="75" spans="1:4" ht="18" customHeight="1" x14ac:dyDescent="0.25">
      <c r="A75" s="15" t="s">
        <v>461</v>
      </c>
      <c r="B75" s="16">
        <v>153</v>
      </c>
      <c r="C75" s="16">
        <v>2236</v>
      </c>
      <c r="D75" s="16">
        <v>2083</v>
      </c>
    </row>
  </sheetData>
  <mergeCells count="4">
    <mergeCell ref="G17:H17"/>
    <mergeCell ref="A28:D28"/>
    <mergeCell ref="G24:H24"/>
    <mergeCell ref="A2:C2"/>
  </mergeCells>
  <conditionalFormatting pivot="1" sqref="D33:D75">
    <cfRule type="cellIs" dxfId="16" priority="3" operator="lessThan">
      <formula>0</formula>
    </cfRule>
  </conditionalFormatting>
  <conditionalFormatting pivot="1" sqref="D33:D75">
    <cfRule type="cellIs" dxfId="15" priority="2" operator="lessThan">
      <formula>0</formula>
    </cfRule>
  </conditionalFormatting>
  <conditionalFormatting pivot="1" sqref="D33:D75">
    <cfRule type="cellIs" dxfId="12" priority="1" operator="lessThan">
      <formula>1</formula>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87C1-3247-4B4D-90C5-B29497E78364}">
  <dimension ref="B1:L61"/>
  <sheetViews>
    <sheetView workbookViewId="0">
      <selection activeCell="I10" sqref="I10"/>
    </sheetView>
  </sheetViews>
  <sheetFormatPr defaultColWidth="16" defaultRowHeight="15" x14ac:dyDescent="0.25"/>
  <cols>
    <col min="2" max="2" width="28.140625" bestFit="1" customWidth="1"/>
    <col min="3" max="3" width="26.85546875" bestFit="1" customWidth="1"/>
    <col min="4" max="4" width="23" bestFit="1" customWidth="1"/>
    <col min="5" max="5" width="15.5703125" bestFit="1" customWidth="1"/>
    <col min="6" max="6" width="19.140625" bestFit="1" customWidth="1"/>
    <col min="8" max="8" width="15.42578125" bestFit="1" customWidth="1"/>
    <col min="9" max="9" width="16.85546875" bestFit="1" customWidth="1"/>
    <col min="10" max="10" width="2.140625" bestFit="1" customWidth="1"/>
    <col min="11" max="11" width="2.42578125" bestFit="1" customWidth="1"/>
    <col min="12" max="12" width="11.28515625" bestFit="1" customWidth="1"/>
  </cols>
  <sheetData>
    <row r="1" spans="2:12" x14ac:dyDescent="0.25">
      <c r="B1" s="28" t="s">
        <v>478</v>
      </c>
      <c r="C1" s="28"/>
      <c r="D1" s="28"/>
      <c r="E1" s="28"/>
      <c r="F1" s="28"/>
      <c r="H1" s="30" t="s">
        <v>480</v>
      </c>
      <c r="I1" s="33"/>
      <c r="J1" s="33"/>
      <c r="K1" s="33"/>
      <c r="L1" s="33"/>
    </row>
    <row r="2" spans="2:12" x14ac:dyDescent="0.25">
      <c r="B2" s="14" t="s">
        <v>455</v>
      </c>
      <c r="C2" t="s">
        <v>459</v>
      </c>
      <c r="D2" s="32"/>
      <c r="E2" s="32"/>
      <c r="F2" s="32"/>
      <c r="H2" s="14" t="s">
        <v>445</v>
      </c>
      <c r="I2" t="s">
        <v>466</v>
      </c>
      <c r="J2" s="33"/>
      <c r="K2" s="33"/>
      <c r="L2" s="33"/>
    </row>
    <row r="3" spans="2:12" x14ac:dyDescent="0.25">
      <c r="B3" s="32"/>
      <c r="C3" s="32"/>
      <c r="D3" s="32"/>
      <c r="E3" s="32"/>
      <c r="F3" s="32"/>
      <c r="H3" s="32"/>
      <c r="I3" s="32"/>
      <c r="J3" s="32"/>
      <c r="K3" s="32"/>
      <c r="L3" s="32"/>
    </row>
    <row r="4" spans="2:12" x14ac:dyDescent="0.25">
      <c r="B4" s="14" t="s">
        <v>5</v>
      </c>
      <c r="C4" t="s">
        <v>468</v>
      </c>
      <c r="D4" t="s">
        <v>463</v>
      </c>
      <c r="E4" t="s">
        <v>464</v>
      </c>
      <c r="F4" t="s">
        <v>467</v>
      </c>
      <c r="H4" s="14" t="s">
        <v>469</v>
      </c>
      <c r="I4" s="14" t="s">
        <v>460</v>
      </c>
    </row>
    <row r="5" spans="2:12" x14ac:dyDescent="0.25">
      <c r="B5" s="15" t="s">
        <v>377</v>
      </c>
      <c r="C5" s="16">
        <v>2</v>
      </c>
      <c r="D5" s="16">
        <v>265</v>
      </c>
      <c r="E5" s="16">
        <v>20</v>
      </c>
      <c r="F5" s="16">
        <v>13</v>
      </c>
      <c r="H5" s="14" t="s">
        <v>479</v>
      </c>
      <c r="I5" t="s">
        <v>456</v>
      </c>
      <c r="J5" t="s">
        <v>458</v>
      </c>
      <c r="K5" t="s">
        <v>457</v>
      </c>
      <c r="L5" t="s">
        <v>461</v>
      </c>
    </row>
    <row r="6" spans="2:12" x14ac:dyDescent="0.25">
      <c r="B6" s="15" t="s">
        <v>384</v>
      </c>
      <c r="C6" s="16">
        <v>10</v>
      </c>
      <c r="D6" s="16">
        <v>1350</v>
      </c>
      <c r="E6" s="16">
        <v>30</v>
      </c>
      <c r="F6" s="16">
        <v>1</v>
      </c>
      <c r="H6" s="15">
        <v>2</v>
      </c>
      <c r="I6" s="16"/>
      <c r="J6" s="16"/>
      <c r="K6" s="16">
        <v>6</v>
      </c>
      <c r="L6" s="16">
        <v>6</v>
      </c>
    </row>
    <row r="7" spans="2:12" x14ac:dyDescent="0.25">
      <c r="B7" s="15" t="s">
        <v>380</v>
      </c>
      <c r="C7" s="16">
        <v>3</v>
      </c>
      <c r="D7" s="16">
        <v>699</v>
      </c>
      <c r="E7" s="16">
        <v>182</v>
      </c>
      <c r="F7" s="16">
        <v>3</v>
      </c>
      <c r="H7" s="15">
        <v>4</v>
      </c>
      <c r="I7" s="16"/>
      <c r="J7" s="16"/>
      <c r="K7" s="16">
        <v>1</v>
      </c>
      <c r="L7" s="16">
        <v>1</v>
      </c>
    </row>
    <row r="8" spans="2:12" x14ac:dyDescent="0.25">
      <c r="B8" s="15" t="s">
        <v>411</v>
      </c>
      <c r="C8" s="16">
        <v>5.333333333333333</v>
      </c>
      <c r="D8" s="16">
        <v>410</v>
      </c>
      <c r="E8" s="16">
        <v>10</v>
      </c>
      <c r="F8" s="16">
        <v>3</v>
      </c>
      <c r="H8" s="15">
        <v>5</v>
      </c>
      <c r="I8" s="16"/>
      <c r="J8" s="16">
        <v>1</v>
      </c>
      <c r="K8" s="16">
        <v>1</v>
      </c>
      <c r="L8" s="16">
        <v>2</v>
      </c>
    </row>
    <row r="9" spans="2:12" x14ac:dyDescent="0.25">
      <c r="B9" s="15" t="s">
        <v>165</v>
      </c>
      <c r="C9" s="16">
        <v>3.6666666666666665</v>
      </c>
      <c r="D9" s="16">
        <v>235</v>
      </c>
      <c r="E9" s="16">
        <v>7</v>
      </c>
      <c r="F9" s="16">
        <v>3</v>
      </c>
      <c r="H9" s="15">
        <v>7</v>
      </c>
      <c r="I9" s="16"/>
      <c r="J9" s="16">
        <v>1</v>
      </c>
      <c r="K9" s="16"/>
      <c r="L9" s="16">
        <v>1</v>
      </c>
    </row>
    <row r="10" spans="2:12" x14ac:dyDescent="0.25">
      <c r="B10" s="15" t="s">
        <v>393</v>
      </c>
      <c r="C10" s="16">
        <v>2</v>
      </c>
      <c r="D10" s="16">
        <v>328</v>
      </c>
      <c r="E10" s="16">
        <v>32</v>
      </c>
      <c r="F10" s="16">
        <v>6</v>
      </c>
      <c r="H10" s="15">
        <v>10</v>
      </c>
      <c r="I10" s="16">
        <v>2</v>
      </c>
      <c r="J10" s="16"/>
      <c r="K10" s="16"/>
      <c r="L10" s="16">
        <v>2</v>
      </c>
    </row>
    <row r="11" spans="2:12" x14ac:dyDescent="0.25">
      <c r="B11" s="15" t="s">
        <v>374</v>
      </c>
      <c r="C11" s="16">
        <v>3</v>
      </c>
      <c r="D11" s="16">
        <v>170</v>
      </c>
      <c r="E11" s="16">
        <v>2</v>
      </c>
      <c r="F11" s="16">
        <v>1</v>
      </c>
      <c r="H11" s="15">
        <v>14</v>
      </c>
      <c r="I11" s="16"/>
      <c r="J11" s="16">
        <v>1</v>
      </c>
      <c r="K11" s="16"/>
      <c r="L11" s="16">
        <v>1</v>
      </c>
    </row>
    <row r="12" spans="2:12" x14ac:dyDescent="0.25">
      <c r="B12" s="15" t="s">
        <v>371</v>
      </c>
      <c r="C12" s="16">
        <v>10.5</v>
      </c>
      <c r="D12" s="16">
        <v>1935</v>
      </c>
      <c r="E12" s="16">
        <v>5</v>
      </c>
      <c r="F12" s="16">
        <v>2</v>
      </c>
      <c r="H12" s="15">
        <v>30</v>
      </c>
      <c r="I12" s="16">
        <v>1</v>
      </c>
      <c r="J12" s="16"/>
      <c r="K12" s="16"/>
      <c r="L12" s="16">
        <v>1</v>
      </c>
    </row>
    <row r="13" spans="2:12" x14ac:dyDescent="0.25">
      <c r="B13" s="15" t="s">
        <v>407</v>
      </c>
      <c r="C13" s="16">
        <v>4</v>
      </c>
      <c r="D13" s="16">
        <v>480</v>
      </c>
      <c r="E13" s="16">
        <v>4</v>
      </c>
      <c r="F13" s="16">
        <v>1</v>
      </c>
      <c r="H13" s="15" t="s">
        <v>461</v>
      </c>
      <c r="I13" s="16">
        <v>3</v>
      </c>
      <c r="J13" s="16">
        <v>3</v>
      </c>
      <c r="K13" s="16">
        <v>8</v>
      </c>
      <c r="L13" s="16">
        <v>14</v>
      </c>
    </row>
    <row r="14" spans="2:12" x14ac:dyDescent="0.25">
      <c r="B14" s="15" t="s">
        <v>412</v>
      </c>
      <c r="C14" s="16">
        <v>4</v>
      </c>
      <c r="D14" s="16">
        <v>190</v>
      </c>
      <c r="E14" s="16">
        <v>2</v>
      </c>
      <c r="F14" s="16">
        <v>1</v>
      </c>
    </row>
    <row r="15" spans="2:12" x14ac:dyDescent="0.25">
      <c r="B15" s="15" t="s">
        <v>413</v>
      </c>
      <c r="C15" s="16">
        <v>7</v>
      </c>
      <c r="D15" s="16">
        <v>2030</v>
      </c>
      <c r="E15" s="16">
        <v>22</v>
      </c>
      <c r="F15" s="16">
        <v>5</v>
      </c>
    </row>
    <row r="16" spans="2:12" x14ac:dyDescent="0.25">
      <c r="B16" s="15" t="s">
        <v>387</v>
      </c>
      <c r="C16" s="16">
        <v>7</v>
      </c>
      <c r="D16" s="16">
        <v>1500</v>
      </c>
      <c r="E16" s="16">
        <v>12</v>
      </c>
      <c r="F16" s="16">
        <v>2</v>
      </c>
    </row>
    <row r="17" spans="2:6" x14ac:dyDescent="0.25">
      <c r="B17" s="15" t="s">
        <v>385</v>
      </c>
      <c r="C17" s="16">
        <v>14</v>
      </c>
      <c r="D17" s="16">
        <v>1152</v>
      </c>
      <c r="E17" s="16">
        <v>24</v>
      </c>
      <c r="F17" s="16">
        <v>8</v>
      </c>
    </row>
    <row r="18" spans="2:6" x14ac:dyDescent="0.25">
      <c r="B18" s="15" t="s">
        <v>369</v>
      </c>
      <c r="C18" s="16">
        <v>21</v>
      </c>
      <c r="D18" s="16">
        <v>4100</v>
      </c>
      <c r="E18" s="16">
        <v>4</v>
      </c>
      <c r="F18" s="16">
        <v>2</v>
      </c>
    </row>
    <row r="19" spans="2:6" x14ac:dyDescent="0.25">
      <c r="B19" s="15" t="s">
        <v>397</v>
      </c>
      <c r="C19" s="16">
        <v>11</v>
      </c>
      <c r="D19" s="16">
        <v>3550</v>
      </c>
      <c r="E19" s="16">
        <v>14</v>
      </c>
      <c r="F19" s="16">
        <v>6</v>
      </c>
    </row>
    <row r="20" spans="2:6" x14ac:dyDescent="0.25">
      <c r="B20" s="15" t="s">
        <v>399</v>
      </c>
      <c r="C20" s="16">
        <v>21</v>
      </c>
      <c r="D20" s="16">
        <v>1700</v>
      </c>
      <c r="E20" s="16">
        <v>2</v>
      </c>
      <c r="F20" s="16">
        <v>1</v>
      </c>
    </row>
    <row r="21" spans="2:6" x14ac:dyDescent="0.25">
      <c r="B21" s="15" t="s">
        <v>398</v>
      </c>
      <c r="C21" s="16">
        <v>0</v>
      </c>
      <c r="D21" s="16">
        <v>0</v>
      </c>
      <c r="E21" s="16">
        <v>2</v>
      </c>
      <c r="F21" s="16">
        <v>1</v>
      </c>
    </row>
    <row r="22" spans="2:6" x14ac:dyDescent="0.25">
      <c r="B22" s="15" t="s">
        <v>382</v>
      </c>
      <c r="C22" s="16">
        <v>0</v>
      </c>
      <c r="D22" s="16">
        <v>0</v>
      </c>
      <c r="E22" s="16">
        <v>31</v>
      </c>
      <c r="F22" s="16">
        <v>8</v>
      </c>
    </row>
    <row r="23" spans="2:6" x14ac:dyDescent="0.25">
      <c r="B23" s="15" t="s">
        <v>418</v>
      </c>
      <c r="C23" s="16">
        <v>2</v>
      </c>
      <c r="D23" s="16">
        <v>70</v>
      </c>
      <c r="E23" s="16">
        <v>5</v>
      </c>
      <c r="F23" s="16">
        <v>1</v>
      </c>
    </row>
    <row r="24" spans="2:6" x14ac:dyDescent="0.25">
      <c r="B24" s="15" t="s">
        <v>409</v>
      </c>
      <c r="C24" s="16">
        <v>3</v>
      </c>
      <c r="D24" s="16">
        <v>170</v>
      </c>
      <c r="E24" s="16">
        <v>2</v>
      </c>
      <c r="F24" s="16">
        <v>1</v>
      </c>
    </row>
    <row r="25" spans="2:6" x14ac:dyDescent="0.25">
      <c r="B25" s="15" t="s">
        <v>405</v>
      </c>
      <c r="C25" s="16">
        <v>10</v>
      </c>
      <c r="D25" s="16">
        <v>450</v>
      </c>
      <c r="E25" s="16">
        <v>1</v>
      </c>
      <c r="F25" s="16">
        <v>1</v>
      </c>
    </row>
    <row r="26" spans="2:6" x14ac:dyDescent="0.25">
      <c r="B26" s="15" t="s">
        <v>376</v>
      </c>
      <c r="C26" s="16">
        <v>2</v>
      </c>
      <c r="D26" s="16">
        <v>198</v>
      </c>
      <c r="E26" s="16">
        <v>9</v>
      </c>
      <c r="F26" s="16">
        <v>2</v>
      </c>
    </row>
    <row r="27" spans="2:6" x14ac:dyDescent="0.25">
      <c r="B27" s="15" t="s">
        <v>163</v>
      </c>
      <c r="C27" s="16">
        <v>2.5882352941176472</v>
      </c>
      <c r="D27" s="16">
        <v>6300</v>
      </c>
      <c r="E27" s="16">
        <v>4917</v>
      </c>
      <c r="F27" s="16">
        <v>661</v>
      </c>
    </row>
    <row r="28" spans="2:6" x14ac:dyDescent="0.25">
      <c r="B28" s="15" t="s">
        <v>372</v>
      </c>
      <c r="C28" s="16">
        <v>14</v>
      </c>
      <c r="D28" s="16">
        <v>350</v>
      </c>
      <c r="E28" s="16">
        <v>1</v>
      </c>
      <c r="F28" s="16">
        <v>1</v>
      </c>
    </row>
    <row r="29" spans="2:6" x14ac:dyDescent="0.25">
      <c r="B29" s="15" t="s">
        <v>390</v>
      </c>
      <c r="C29" s="16">
        <v>5</v>
      </c>
      <c r="D29" s="16">
        <v>340</v>
      </c>
      <c r="E29" s="16">
        <v>40</v>
      </c>
      <c r="F29" s="16">
        <v>4</v>
      </c>
    </row>
    <row r="30" spans="2:6" x14ac:dyDescent="0.25">
      <c r="B30" s="15" t="s">
        <v>375</v>
      </c>
      <c r="C30" s="16">
        <v>5</v>
      </c>
      <c r="D30" s="16">
        <v>800</v>
      </c>
      <c r="E30" s="16">
        <v>4</v>
      </c>
      <c r="F30" s="16">
        <v>2</v>
      </c>
    </row>
    <row r="31" spans="2:6" x14ac:dyDescent="0.25">
      <c r="B31" s="15" t="s">
        <v>386</v>
      </c>
      <c r="C31" s="16">
        <v>3</v>
      </c>
      <c r="D31" s="16">
        <v>520</v>
      </c>
      <c r="E31" s="16">
        <v>8</v>
      </c>
      <c r="F31" s="16">
        <v>4</v>
      </c>
    </row>
    <row r="32" spans="2:6" x14ac:dyDescent="0.25">
      <c r="B32" s="15" t="s">
        <v>395</v>
      </c>
      <c r="C32" s="16">
        <v>7</v>
      </c>
      <c r="D32" s="16">
        <v>240</v>
      </c>
      <c r="E32" s="16">
        <v>1</v>
      </c>
      <c r="F32" s="16">
        <v>1</v>
      </c>
    </row>
    <row r="33" spans="2:6" x14ac:dyDescent="0.25">
      <c r="B33" s="15" t="s">
        <v>416</v>
      </c>
      <c r="C33" s="16">
        <v>4</v>
      </c>
      <c r="D33" s="16">
        <v>925</v>
      </c>
      <c r="E33" s="16">
        <v>15</v>
      </c>
      <c r="F33" s="16">
        <v>6</v>
      </c>
    </row>
    <row r="34" spans="2:6" x14ac:dyDescent="0.25">
      <c r="B34" s="15" t="s">
        <v>419</v>
      </c>
      <c r="C34" s="16">
        <v>2</v>
      </c>
      <c r="D34" s="16">
        <v>600</v>
      </c>
      <c r="E34" s="16">
        <v>80</v>
      </c>
      <c r="F34" s="16">
        <v>30</v>
      </c>
    </row>
    <row r="35" spans="2:6" x14ac:dyDescent="0.25">
      <c r="B35" s="15" t="s">
        <v>162</v>
      </c>
      <c r="C35" s="16">
        <v>5</v>
      </c>
      <c r="D35" s="16">
        <v>2290</v>
      </c>
      <c r="E35" s="16">
        <v>20</v>
      </c>
      <c r="F35" s="16">
        <v>5</v>
      </c>
    </row>
    <row r="36" spans="2:6" x14ac:dyDescent="0.25">
      <c r="B36" s="15" t="s">
        <v>378</v>
      </c>
      <c r="C36" s="16">
        <v>2</v>
      </c>
      <c r="D36" s="16">
        <v>84</v>
      </c>
      <c r="E36" s="16">
        <v>6</v>
      </c>
      <c r="F36" s="16">
        <v>2</v>
      </c>
    </row>
    <row r="37" spans="2:6" x14ac:dyDescent="0.25">
      <c r="B37" s="15" t="s">
        <v>388</v>
      </c>
      <c r="C37" s="16">
        <v>5</v>
      </c>
      <c r="D37" s="16">
        <v>1110</v>
      </c>
      <c r="E37" s="16">
        <v>6</v>
      </c>
      <c r="F37" s="16">
        <v>1</v>
      </c>
    </row>
    <row r="38" spans="2:6" x14ac:dyDescent="0.25">
      <c r="B38" s="15" t="s">
        <v>383</v>
      </c>
      <c r="C38" s="16">
        <v>4</v>
      </c>
      <c r="D38" s="16">
        <v>380</v>
      </c>
      <c r="E38" s="16">
        <v>4</v>
      </c>
      <c r="F38" s="16">
        <v>1</v>
      </c>
    </row>
    <row r="39" spans="2:6" x14ac:dyDescent="0.25">
      <c r="B39" s="15" t="s">
        <v>401</v>
      </c>
      <c r="C39" s="16">
        <v>7</v>
      </c>
      <c r="D39" s="16">
        <v>1480</v>
      </c>
      <c r="E39" s="16">
        <v>8</v>
      </c>
      <c r="F39" s="16">
        <v>4</v>
      </c>
    </row>
    <row r="40" spans="2:6" x14ac:dyDescent="0.25">
      <c r="B40" s="15" t="s">
        <v>402</v>
      </c>
      <c r="C40" s="16">
        <v>30</v>
      </c>
      <c r="D40" s="16">
        <v>650</v>
      </c>
      <c r="E40" s="16">
        <v>1</v>
      </c>
      <c r="F40" s="16">
        <v>1</v>
      </c>
    </row>
    <row r="41" spans="2:6" x14ac:dyDescent="0.25">
      <c r="B41" s="15" t="s">
        <v>396</v>
      </c>
      <c r="C41" s="16">
        <v>14</v>
      </c>
      <c r="D41" s="16">
        <v>304</v>
      </c>
      <c r="E41" s="16">
        <v>8</v>
      </c>
      <c r="F41" s="16">
        <v>2</v>
      </c>
    </row>
    <row r="42" spans="2:6" x14ac:dyDescent="0.25">
      <c r="B42" s="15" t="s">
        <v>394</v>
      </c>
      <c r="C42" s="16">
        <v>14</v>
      </c>
      <c r="D42" s="16">
        <v>900</v>
      </c>
      <c r="E42" s="16">
        <v>2</v>
      </c>
      <c r="F42" s="16">
        <v>1</v>
      </c>
    </row>
    <row r="43" spans="2:6" x14ac:dyDescent="0.25">
      <c r="B43" s="15" t="s">
        <v>400</v>
      </c>
      <c r="C43" s="16">
        <v>30</v>
      </c>
      <c r="D43" s="16">
        <v>1800</v>
      </c>
      <c r="E43" s="16">
        <v>4</v>
      </c>
      <c r="F43" s="16">
        <v>1</v>
      </c>
    </row>
    <row r="44" spans="2:6" x14ac:dyDescent="0.25">
      <c r="B44" s="15" t="s">
        <v>415</v>
      </c>
      <c r="C44" s="16">
        <v>5</v>
      </c>
      <c r="D44" s="16">
        <v>250</v>
      </c>
      <c r="E44" s="16">
        <v>2</v>
      </c>
      <c r="F44" s="16">
        <v>5</v>
      </c>
    </row>
    <row r="45" spans="2:6" x14ac:dyDescent="0.25">
      <c r="B45" s="15" t="s">
        <v>420</v>
      </c>
      <c r="C45" s="16">
        <v>2</v>
      </c>
      <c r="D45" s="16">
        <v>110</v>
      </c>
      <c r="E45" s="16">
        <v>20</v>
      </c>
      <c r="F45" s="16">
        <v>5</v>
      </c>
    </row>
    <row r="46" spans="2:6" x14ac:dyDescent="0.25">
      <c r="B46" s="15" t="s">
        <v>381</v>
      </c>
      <c r="C46" s="16">
        <v>5</v>
      </c>
      <c r="D46" s="16">
        <v>1810</v>
      </c>
      <c r="E46" s="16">
        <v>124</v>
      </c>
      <c r="F46" s="16">
        <v>6</v>
      </c>
    </row>
    <row r="47" spans="2:6" x14ac:dyDescent="0.25">
      <c r="B47" s="15" t="s">
        <v>414</v>
      </c>
      <c r="C47" s="16">
        <v>5</v>
      </c>
      <c r="D47" s="16">
        <v>675</v>
      </c>
      <c r="E47" s="16">
        <v>3</v>
      </c>
      <c r="F47" s="16">
        <v>1</v>
      </c>
    </row>
    <row r="48" spans="2:6" x14ac:dyDescent="0.25">
      <c r="B48" s="15" t="s">
        <v>406</v>
      </c>
      <c r="C48" s="16">
        <v>5.666666666666667</v>
      </c>
      <c r="D48" s="16">
        <v>870</v>
      </c>
      <c r="E48" s="16">
        <v>6</v>
      </c>
      <c r="F48" s="16">
        <v>3</v>
      </c>
    </row>
    <row r="49" spans="2:6" x14ac:dyDescent="0.25">
      <c r="B49" s="15" t="s">
        <v>389</v>
      </c>
      <c r="C49" s="16">
        <v>2</v>
      </c>
      <c r="D49" s="16">
        <v>660</v>
      </c>
      <c r="E49" s="16">
        <v>12</v>
      </c>
      <c r="F49" s="16">
        <v>4</v>
      </c>
    </row>
    <row r="50" spans="2:6" x14ac:dyDescent="0.25">
      <c r="B50" s="15" t="s">
        <v>404</v>
      </c>
      <c r="C50" s="16">
        <v>5</v>
      </c>
      <c r="D50" s="16">
        <v>250</v>
      </c>
      <c r="E50" s="16">
        <v>2</v>
      </c>
      <c r="F50" s="16">
        <v>1</v>
      </c>
    </row>
    <row r="51" spans="2:6" x14ac:dyDescent="0.25">
      <c r="B51" s="15" t="s">
        <v>410</v>
      </c>
      <c r="C51" s="16">
        <v>5</v>
      </c>
      <c r="D51" s="16">
        <v>165</v>
      </c>
      <c r="E51" s="16">
        <v>1</v>
      </c>
      <c r="F51" s="16">
        <v>1</v>
      </c>
    </row>
    <row r="52" spans="2:6" x14ac:dyDescent="0.25">
      <c r="B52" s="15" t="s">
        <v>373</v>
      </c>
      <c r="C52" s="16">
        <v>7</v>
      </c>
      <c r="D52" s="16">
        <v>345</v>
      </c>
      <c r="E52" s="16">
        <v>3</v>
      </c>
      <c r="F52" s="16">
        <v>1</v>
      </c>
    </row>
    <row r="53" spans="2:6" x14ac:dyDescent="0.25">
      <c r="B53" s="15" t="s">
        <v>391</v>
      </c>
      <c r="C53" s="16">
        <v>7</v>
      </c>
      <c r="D53" s="16">
        <v>480</v>
      </c>
      <c r="E53" s="16">
        <v>2</v>
      </c>
      <c r="F53" s="16">
        <v>1</v>
      </c>
    </row>
    <row r="54" spans="2:6" x14ac:dyDescent="0.25">
      <c r="B54" s="15" t="s">
        <v>164</v>
      </c>
      <c r="C54" s="16">
        <v>5</v>
      </c>
      <c r="D54" s="16">
        <v>1324</v>
      </c>
      <c r="E54" s="16">
        <v>84</v>
      </c>
      <c r="F54" s="16">
        <v>5</v>
      </c>
    </row>
    <row r="55" spans="2:6" x14ac:dyDescent="0.25">
      <c r="B55" s="15" t="s">
        <v>403</v>
      </c>
      <c r="C55" s="16">
        <v>7</v>
      </c>
      <c r="D55" s="16">
        <v>180</v>
      </c>
      <c r="E55" s="16">
        <v>4</v>
      </c>
      <c r="F55" s="16">
        <v>2</v>
      </c>
    </row>
    <row r="56" spans="2:6" x14ac:dyDescent="0.25">
      <c r="B56" s="15" t="s">
        <v>392</v>
      </c>
      <c r="C56" s="16">
        <v>7</v>
      </c>
      <c r="D56" s="16">
        <v>1485</v>
      </c>
      <c r="E56" s="16">
        <v>7</v>
      </c>
      <c r="F56" s="16">
        <v>3</v>
      </c>
    </row>
    <row r="57" spans="2:6" x14ac:dyDescent="0.25">
      <c r="B57" s="15" t="s">
        <v>408</v>
      </c>
      <c r="C57" s="16">
        <v>10</v>
      </c>
      <c r="D57" s="16">
        <v>450</v>
      </c>
      <c r="E57" s="16">
        <v>1</v>
      </c>
      <c r="F57" s="16">
        <v>1</v>
      </c>
    </row>
    <row r="58" spans="2:6" x14ac:dyDescent="0.25">
      <c r="B58" s="15" t="s">
        <v>417</v>
      </c>
      <c r="C58" s="16">
        <v>2</v>
      </c>
      <c r="D58" s="16">
        <v>90</v>
      </c>
      <c r="E58" s="16">
        <v>2</v>
      </c>
      <c r="F58" s="16">
        <v>3</v>
      </c>
    </row>
    <row r="59" spans="2:6" x14ac:dyDescent="0.25">
      <c r="B59" s="15" t="s">
        <v>379</v>
      </c>
      <c r="C59" s="16">
        <v>7</v>
      </c>
      <c r="D59" s="16">
        <v>3750</v>
      </c>
      <c r="E59" s="16">
        <v>180</v>
      </c>
      <c r="F59" s="16">
        <v>2</v>
      </c>
    </row>
    <row r="60" spans="2:6" x14ac:dyDescent="0.25">
      <c r="B60" s="15" t="s">
        <v>370</v>
      </c>
      <c r="C60" s="16">
        <v>8.75</v>
      </c>
      <c r="D60" s="16">
        <v>3230</v>
      </c>
      <c r="E60" s="16">
        <v>30</v>
      </c>
      <c r="F60" s="16">
        <v>7</v>
      </c>
    </row>
    <row r="61" spans="2:6" x14ac:dyDescent="0.25">
      <c r="B61" s="15" t="s">
        <v>461</v>
      </c>
      <c r="C61" s="16">
        <v>5.2158273381294968</v>
      </c>
      <c r="D61" s="16">
        <v>56179</v>
      </c>
      <c r="E61" s="16">
        <v>6030</v>
      </c>
      <c r="F61" s="16">
        <v>850</v>
      </c>
    </row>
  </sheetData>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00B8-C844-4545-9C78-485D299A4186}">
  <dimension ref="A1:S141"/>
  <sheetViews>
    <sheetView topLeftCell="B1" zoomScale="70" zoomScaleNormal="70" workbookViewId="0">
      <pane ySplit="1" topLeftCell="A2" activePane="bottomLeft" state="frozen"/>
      <selection pane="bottomLeft" activeCell="N69" sqref="N69"/>
    </sheetView>
  </sheetViews>
  <sheetFormatPr defaultRowHeight="15" x14ac:dyDescent="0.25"/>
  <cols>
    <col min="1" max="1" width="28" customWidth="1"/>
    <col min="2" max="2" width="27.28515625" customWidth="1"/>
    <col min="3" max="3" width="17.5703125" style="47" customWidth="1"/>
    <col min="4" max="4" width="31.85546875" customWidth="1"/>
    <col min="5" max="5" width="35" customWidth="1"/>
    <col min="6" max="6" width="17" customWidth="1"/>
    <col min="7" max="7" width="19.42578125" customWidth="1"/>
    <col min="8" max="8" width="20.85546875" customWidth="1"/>
    <col min="9" max="9" width="22" customWidth="1"/>
    <col min="10" max="10" width="16.5703125" customWidth="1"/>
    <col min="11" max="11" width="22.85546875" customWidth="1"/>
    <col min="12" max="12" width="18" customWidth="1"/>
    <col min="13" max="13" width="19" customWidth="1"/>
    <col min="14" max="14" width="25" customWidth="1"/>
    <col min="15" max="15" width="20" customWidth="1"/>
    <col min="16" max="16" width="14.140625" customWidth="1"/>
    <col min="17" max="17" width="18.5703125" customWidth="1"/>
    <col min="18" max="18" width="21.5703125" customWidth="1"/>
    <col min="19" max="19" width="28.85546875" customWidth="1"/>
    <col min="20" max="20" width="89.7109375" customWidth="1"/>
    <col min="21" max="21" width="37.5703125" customWidth="1"/>
  </cols>
  <sheetData>
    <row r="1" spans="1:19" x14ac:dyDescent="0.25">
      <c r="A1" s="34" t="s">
        <v>485</v>
      </c>
      <c r="B1" s="35"/>
      <c r="C1" s="47" t="s">
        <v>0</v>
      </c>
      <c r="D1" t="s">
        <v>1</v>
      </c>
      <c r="E1" t="s">
        <v>2</v>
      </c>
      <c r="F1" t="s">
        <v>3</v>
      </c>
      <c r="G1" t="s">
        <v>5</v>
      </c>
      <c r="H1" s="18" t="s">
        <v>4</v>
      </c>
      <c r="I1" s="12" t="s">
        <v>421</v>
      </c>
      <c r="J1" s="19" t="s">
        <v>166</v>
      </c>
      <c r="K1" s="19" t="s">
        <v>167</v>
      </c>
      <c r="L1" s="19" t="s">
        <v>443</v>
      </c>
      <c r="M1" s="19" t="s">
        <v>441</v>
      </c>
      <c r="N1" s="19" t="s">
        <v>368</v>
      </c>
      <c r="O1" s="12" t="s">
        <v>168</v>
      </c>
      <c r="P1" s="19" t="s">
        <v>445</v>
      </c>
      <c r="Q1" s="19" t="s">
        <v>453</v>
      </c>
      <c r="R1" s="19" t="s">
        <v>455</v>
      </c>
      <c r="S1" s="12" t="s">
        <v>6</v>
      </c>
    </row>
    <row r="2" spans="1:19" ht="15.75" x14ac:dyDescent="0.25">
      <c r="A2" s="35"/>
      <c r="B2" s="35"/>
      <c r="C2" s="47">
        <v>1</v>
      </c>
      <c r="D2" t="s">
        <v>7</v>
      </c>
      <c r="E2" t="s">
        <v>137</v>
      </c>
      <c r="F2" t="s">
        <v>155</v>
      </c>
      <c r="G2" s="8" t="s">
        <v>379</v>
      </c>
      <c r="H2" s="20">
        <v>100</v>
      </c>
      <c r="I2" s="13" t="s">
        <v>422</v>
      </c>
      <c r="J2" s="21">
        <v>22.5</v>
      </c>
      <c r="K2" s="13">
        <f>H2*J2</f>
        <v>2250</v>
      </c>
      <c r="L2" s="13">
        <v>5</v>
      </c>
      <c r="M2" s="21">
        <v>7</v>
      </c>
      <c r="N2" s="21">
        <v>1</v>
      </c>
      <c r="O2" s="13">
        <f>ROUNDUP((((L2/30)*M2)+N2),0)</f>
        <v>3</v>
      </c>
      <c r="P2" s="13" t="str">
        <f>IF(H2 &lt;= O2, "REORDER", "OK")</f>
        <v>OK</v>
      </c>
      <c r="Q2" s="13">
        <f>IF(P2="REORDER",(L2+N2)-H2,0)</f>
        <v>0</v>
      </c>
      <c r="R2" s="21" t="s">
        <v>456</v>
      </c>
      <c r="S2" s="24">
        <v>46034</v>
      </c>
    </row>
    <row r="3" spans="1:19" ht="15.75" x14ac:dyDescent="0.25">
      <c r="A3" s="35"/>
      <c r="B3" s="35"/>
      <c r="C3" s="47">
        <v>2</v>
      </c>
      <c r="D3" t="s">
        <v>8</v>
      </c>
      <c r="E3" t="s">
        <v>137</v>
      </c>
      <c r="F3" t="s">
        <v>155</v>
      </c>
      <c r="G3" s="8" t="s">
        <v>379</v>
      </c>
      <c r="H3" s="20">
        <v>80</v>
      </c>
      <c r="I3" s="13" t="s">
        <v>422</v>
      </c>
      <c r="J3" s="21">
        <v>18.75</v>
      </c>
      <c r="K3" s="13">
        <f t="shared" ref="K2:K33" si="0">H3*J3</f>
        <v>1500</v>
      </c>
      <c r="L3" s="13">
        <v>4</v>
      </c>
      <c r="M3" s="21">
        <v>7</v>
      </c>
      <c r="N3" s="21">
        <v>1</v>
      </c>
      <c r="O3" s="13">
        <f t="shared" ref="O3:O66" si="1">ROUNDUP((((L3/30)*M3)+N3),0)</f>
        <v>2</v>
      </c>
      <c r="P3" s="13" t="str">
        <f t="shared" ref="P3:P66" si="2">IF(H3 &lt;= O3, "REORDER", "OK")</f>
        <v>OK</v>
      </c>
      <c r="Q3" s="13">
        <f t="shared" ref="Q3:Q66" si="3">IF(P3="REORDER",(L3+N3)-H3,0)</f>
        <v>0</v>
      </c>
      <c r="R3" s="21" t="s">
        <v>456</v>
      </c>
      <c r="S3" s="24">
        <v>46034</v>
      </c>
    </row>
    <row r="4" spans="1:19" ht="15.75" x14ac:dyDescent="0.25">
      <c r="A4" s="35"/>
      <c r="B4" s="35"/>
      <c r="C4" s="47">
        <v>3</v>
      </c>
      <c r="D4" t="s">
        <v>9</v>
      </c>
      <c r="E4" t="s">
        <v>137</v>
      </c>
      <c r="F4" t="s">
        <v>155</v>
      </c>
      <c r="G4" s="8" t="s">
        <v>380</v>
      </c>
      <c r="H4" s="20">
        <v>150</v>
      </c>
      <c r="I4" s="13" t="s">
        <v>423</v>
      </c>
      <c r="J4" s="21">
        <v>2.5</v>
      </c>
      <c r="K4" s="13">
        <f t="shared" si="0"/>
        <v>375</v>
      </c>
      <c r="L4" s="13">
        <v>6</v>
      </c>
      <c r="M4" s="21">
        <v>3</v>
      </c>
      <c r="N4" s="21">
        <v>1</v>
      </c>
      <c r="O4" s="13">
        <f t="shared" si="1"/>
        <v>2</v>
      </c>
      <c r="P4" s="13" t="str">
        <f t="shared" si="2"/>
        <v>OK</v>
      </c>
      <c r="Q4" s="13">
        <f t="shared" si="3"/>
        <v>0</v>
      </c>
      <c r="R4" s="21" t="s">
        <v>457</v>
      </c>
      <c r="S4" s="24">
        <v>46034</v>
      </c>
    </row>
    <row r="5" spans="1:19" ht="15.75" x14ac:dyDescent="0.25">
      <c r="A5" s="35"/>
      <c r="B5" s="35"/>
      <c r="C5" s="47">
        <v>4</v>
      </c>
      <c r="D5" t="s">
        <v>10</v>
      </c>
      <c r="E5" t="s">
        <v>137</v>
      </c>
      <c r="F5" t="s">
        <v>155</v>
      </c>
      <c r="G5" s="8" t="s">
        <v>381</v>
      </c>
      <c r="H5" s="20">
        <v>100</v>
      </c>
      <c r="I5" s="13" t="s">
        <v>423</v>
      </c>
      <c r="J5" s="21">
        <v>6</v>
      </c>
      <c r="K5" s="13">
        <f t="shared" si="0"/>
        <v>600</v>
      </c>
      <c r="L5" s="13">
        <v>4</v>
      </c>
      <c r="M5" s="21">
        <v>5</v>
      </c>
      <c r="N5" s="21">
        <v>1</v>
      </c>
      <c r="O5" s="13">
        <f t="shared" si="1"/>
        <v>2</v>
      </c>
      <c r="P5" s="13" t="str">
        <f t="shared" si="2"/>
        <v>OK</v>
      </c>
      <c r="Q5" s="13">
        <f t="shared" si="3"/>
        <v>0</v>
      </c>
      <c r="R5" s="21" t="s">
        <v>458</v>
      </c>
      <c r="S5" s="24">
        <v>46034</v>
      </c>
    </row>
    <row r="6" spans="1:19" ht="15.75" x14ac:dyDescent="0.25">
      <c r="A6" s="35"/>
      <c r="B6" s="35"/>
      <c r="C6" s="47">
        <v>5</v>
      </c>
      <c r="D6" t="s">
        <v>11</v>
      </c>
      <c r="E6" t="s">
        <v>137</v>
      </c>
      <c r="F6" t="s">
        <v>156</v>
      </c>
      <c r="G6" s="8" t="s">
        <v>162</v>
      </c>
      <c r="H6" s="20">
        <v>2</v>
      </c>
      <c r="I6" s="13" t="s">
        <v>426</v>
      </c>
      <c r="J6" s="21">
        <v>350</v>
      </c>
      <c r="K6" s="13">
        <f t="shared" si="0"/>
        <v>700</v>
      </c>
      <c r="L6" s="13">
        <v>0</v>
      </c>
      <c r="M6" s="21">
        <v>5</v>
      </c>
      <c r="N6" s="21">
        <v>1</v>
      </c>
      <c r="O6" s="13">
        <f t="shared" si="1"/>
        <v>1</v>
      </c>
      <c r="P6" s="13" t="str">
        <f t="shared" si="2"/>
        <v>OK</v>
      </c>
      <c r="Q6" s="13">
        <f t="shared" si="3"/>
        <v>0</v>
      </c>
      <c r="R6" s="21" t="s">
        <v>458</v>
      </c>
      <c r="S6" s="24">
        <v>46034</v>
      </c>
    </row>
    <row r="7" spans="1:19" ht="15.75" x14ac:dyDescent="0.25">
      <c r="C7" s="47">
        <v>6</v>
      </c>
      <c r="D7" t="s">
        <v>12</v>
      </c>
      <c r="E7" t="s">
        <v>137</v>
      </c>
      <c r="F7" t="s">
        <v>155</v>
      </c>
      <c r="G7" s="8" t="s">
        <v>381</v>
      </c>
      <c r="H7" s="20">
        <v>3</v>
      </c>
      <c r="I7" s="13" t="s">
        <v>423</v>
      </c>
      <c r="J7" s="21">
        <v>75</v>
      </c>
      <c r="K7" s="13">
        <f t="shared" si="0"/>
        <v>225</v>
      </c>
      <c r="L7" s="13">
        <v>0</v>
      </c>
      <c r="M7" s="21">
        <v>5</v>
      </c>
      <c r="N7" s="21">
        <v>1</v>
      </c>
      <c r="O7" s="13">
        <f t="shared" si="1"/>
        <v>1</v>
      </c>
      <c r="P7" s="13" t="str">
        <f t="shared" si="2"/>
        <v>OK</v>
      </c>
      <c r="Q7" s="13">
        <f t="shared" si="3"/>
        <v>0</v>
      </c>
      <c r="R7" s="21" t="s">
        <v>458</v>
      </c>
      <c r="S7" s="24">
        <v>46034</v>
      </c>
    </row>
    <row r="8" spans="1:19" ht="15.75" x14ac:dyDescent="0.25">
      <c r="C8" s="47">
        <v>7</v>
      </c>
      <c r="D8" t="s">
        <v>13</v>
      </c>
      <c r="E8" t="s">
        <v>137</v>
      </c>
      <c r="F8" t="s">
        <v>155</v>
      </c>
      <c r="G8" s="8" t="s">
        <v>381</v>
      </c>
      <c r="H8" s="20">
        <v>3</v>
      </c>
      <c r="I8" s="13" t="s">
        <v>423</v>
      </c>
      <c r="J8" s="21">
        <v>65</v>
      </c>
      <c r="K8" s="13">
        <f t="shared" si="0"/>
        <v>195</v>
      </c>
      <c r="L8" s="13">
        <v>0</v>
      </c>
      <c r="M8" s="21">
        <v>5</v>
      </c>
      <c r="N8" s="21">
        <v>1</v>
      </c>
      <c r="O8" s="13">
        <f t="shared" si="1"/>
        <v>1</v>
      </c>
      <c r="P8" s="13" t="str">
        <f t="shared" si="2"/>
        <v>OK</v>
      </c>
      <c r="Q8" s="13">
        <f t="shared" si="3"/>
        <v>0</v>
      </c>
      <c r="R8" s="21" t="s">
        <v>458</v>
      </c>
      <c r="S8" s="24">
        <v>46034</v>
      </c>
    </row>
    <row r="9" spans="1:19" ht="15.75" x14ac:dyDescent="0.25">
      <c r="C9" s="47">
        <v>8</v>
      </c>
      <c r="D9" t="s">
        <v>14</v>
      </c>
      <c r="E9" t="s">
        <v>137</v>
      </c>
      <c r="F9" t="s">
        <v>156</v>
      </c>
      <c r="G9" s="8" t="s">
        <v>382</v>
      </c>
      <c r="H9" s="20">
        <v>1</v>
      </c>
      <c r="I9" s="13" t="s">
        <v>423</v>
      </c>
      <c r="J9" s="21">
        <v>0</v>
      </c>
      <c r="K9" s="13">
        <f t="shared" si="0"/>
        <v>0</v>
      </c>
      <c r="L9" s="13">
        <v>0</v>
      </c>
      <c r="M9" s="21">
        <v>0</v>
      </c>
      <c r="N9" s="21">
        <v>0</v>
      </c>
      <c r="O9" s="13">
        <f t="shared" si="1"/>
        <v>0</v>
      </c>
      <c r="P9" s="13" t="str">
        <f t="shared" si="2"/>
        <v>OK</v>
      </c>
      <c r="Q9" s="13">
        <f t="shared" si="3"/>
        <v>0</v>
      </c>
      <c r="R9" s="21" t="s">
        <v>456</v>
      </c>
      <c r="S9" s="24">
        <v>46034</v>
      </c>
    </row>
    <row r="10" spans="1:19" ht="15.75" x14ac:dyDescent="0.25">
      <c r="C10" s="47">
        <v>9</v>
      </c>
      <c r="D10" t="s">
        <v>15</v>
      </c>
      <c r="E10" t="s">
        <v>137</v>
      </c>
      <c r="F10" t="s">
        <v>156</v>
      </c>
      <c r="G10" s="8" t="s">
        <v>383</v>
      </c>
      <c r="H10" s="20">
        <v>4</v>
      </c>
      <c r="I10" s="13" t="s">
        <v>426</v>
      </c>
      <c r="J10" s="21">
        <v>95</v>
      </c>
      <c r="K10" s="13">
        <f t="shared" si="0"/>
        <v>380</v>
      </c>
      <c r="L10" s="13">
        <v>0</v>
      </c>
      <c r="M10" s="21">
        <v>4</v>
      </c>
      <c r="N10" s="21">
        <v>1</v>
      </c>
      <c r="O10" s="13">
        <f t="shared" si="1"/>
        <v>1</v>
      </c>
      <c r="P10" s="13" t="str">
        <f t="shared" si="2"/>
        <v>OK</v>
      </c>
      <c r="Q10" s="13">
        <f t="shared" si="3"/>
        <v>0</v>
      </c>
      <c r="R10" s="21" t="s">
        <v>458</v>
      </c>
      <c r="S10" s="24">
        <v>46034</v>
      </c>
    </row>
    <row r="11" spans="1:19" ht="15.75" x14ac:dyDescent="0.25">
      <c r="C11" s="47">
        <v>10</v>
      </c>
      <c r="D11" t="s">
        <v>16</v>
      </c>
      <c r="E11" t="s">
        <v>137</v>
      </c>
      <c r="F11" t="s">
        <v>155</v>
      </c>
      <c r="G11" s="8" t="s">
        <v>162</v>
      </c>
      <c r="H11" s="20">
        <v>2</v>
      </c>
      <c r="I11" s="13" t="s">
        <v>426</v>
      </c>
      <c r="J11" s="21">
        <v>145</v>
      </c>
      <c r="K11" s="13">
        <f t="shared" si="0"/>
        <v>290</v>
      </c>
      <c r="L11" s="13">
        <v>0</v>
      </c>
      <c r="M11" s="21">
        <v>5</v>
      </c>
      <c r="N11" s="21">
        <v>1</v>
      </c>
      <c r="O11" s="13">
        <f t="shared" si="1"/>
        <v>1</v>
      </c>
      <c r="P11" s="13" t="str">
        <f t="shared" si="2"/>
        <v>OK</v>
      </c>
      <c r="Q11" s="13">
        <f t="shared" si="3"/>
        <v>0</v>
      </c>
      <c r="R11" s="21" t="s">
        <v>458</v>
      </c>
      <c r="S11" s="24">
        <v>46034</v>
      </c>
    </row>
    <row r="12" spans="1:19" ht="15.75" x14ac:dyDescent="0.25">
      <c r="C12" s="47">
        <v>11</v>
      </c>
      <c r="D12" t="s">
        <v>17</v>
      </c>
      <c r="E12" t="s">
        <v>137</v>
      </c>
      <c r="F12" t="s">
        <v>157</v>
      </c>
      <c r="G12" s="8" t="s">
        <v>163</v>
      </c>
      <c r="H12" s="20">
        <v>1000</v>
      </c>
      <c r="I12" s="13" t="s">
        <v>423</v>
      </c>
      <c r="J12" s="21">
        <v>0.12</v>
      </c>
      <c r="K12" s="13">
        <f t="shared" si="0"/>
        <v>120</v>
      </c>
      <c r="L12" s="13">
        <v>20</v>
      </c>
      <c r="M12" s="21">
        <v>2</v>
      </c>
      <c r="N12" s="21">
        <v>50</v>
      </c>
      <c r="O12" s="13">
        <f>ROUNDUP((((L12/30)*M12)+N12),0)</f>
        <v>52</v>
      </c>
      <c r="P12" s="13" t="str">
        <f t="shared" si="2"/>
        <v>OK</v>
      </c>
      <c r="Q12" s="13">
        <f t="shared" si="3"/>
        <v>0</v>
      </c>
      <c r="R12" s="21" t="s">
        <v>457</v>
      </c>
      <c r="S12" s="24">
        <v>46034</v>
      </c>
    </row>
    <row r="13" spans="1:19" ht="15.75" x14ac:dyDescent="0.25">
      <c r="C13" s="47">
        <v>12</v>
      </c>
      <c r="D13" t="s">
        <v>18</v>
      </c>
      <c r="E13" t="s">
        <v>137</v>
      </c>
      <c r="F13" t="s">
        <v>158</v>
      </c>
      <c r="G13" s="8" t="s">
        <v>384</v>
      </c>
      <c r="H13" s="20">
        <v>30</v>
      </c>
      <c r="I13" s="13" t="s">
        <v>423</v>
      </c>
      <c r="J13" s="21">
        <v>45</v>
      </c>
      <c r="K13" s="13">
        <f t="shared" si="0"/>
        <v>1350</v>
      </c>
      <c r="L13" s="13">
        <v>0</v>
      </c>
      <c r="M13" s="21">
        <v>10</v>
      </c>
      <c r="N13" s="21">
        <v>1</v>
      </c>
      <c r="O13" s="13">
        <f t="shared" si="1"/>
        <v>1</v>
      </c>
      <c r="P13" s="13" t="str">
        <f t="shared" si="2"/>
        <v>OK</v>
      </c>
      <c r="Q13" s="13">
        <f>IF(P13="REORDER",(L13+N13)-H13,0)</f>
        <v>0</v>
      </c>
      <c r="R13" s="21" t="s">
        <v>458</v>
      </c>
      <c r="S13" s="24">
        <v>46034</v>
      </c>
    </row>
    <row r="14" spans="1:19" ht="15.75" x14ac:dyDescent="0.25">
      <c r="C14" s="47">
        <v>13</v>
      </c>
      <c r="D14" t="s">
        <v>19</v>
      </c>
      <c r="E14" t="s">
        <v>137</v>
      </c>
      <c r="F14" t="s">
        <v>155</v>
      </c>
      <c r="G14" s="8" t="s">
        <v>380</v>
      </c>
      <c r="H14" s="20">
        <v>8</v>
      </c>
      <c r="I14" s="13" t="s">
        <v>423</v>
      </c>
      <c r="J14" s="21">
        <v>15</v>
      </c>
      <c r="K14" s="13">
        <f t="shared" si="0"/>
        <v>120</v>
      </c>
      <c r="L14" s="13">
        <v>0</v>
      </c>
      <c r="M14" s="21">
        <v>3</v>
      </c>
      <c r="N14" s="21">
        <v>1</v>
      </c>
      <c r="O14" s="13">
        <f t="shared" si="1"/>
        <v>1</v>
      </c>
      <c r="P14" s="13" t="str">
        <f t="shared" si="2"/>
        <v>OK</v>
      </c>
      <c r="Q14" s="13">
        <f t="shared" si="3"/>
        <v>0</v>
      </c>
      <c r="R14" s="21" t="s">
        <v>457</v>
      </c>
      <c r="S14" s="24">
        <v>46034</v>
      </c>
    </row>
    <row r="15" spans="1:19" ht="15.75" x14ac:dyDescent="0.25">
      <c r="C15" s="47">
        <v>14</v>
      </c>
      <c r="D15" t="s">
        <v>20</v>
      </c>
      <c r="E15" t="s">
        <v>137</v>
      </c>
      <c r="F15" t="s">
        <v>155</v>
      </c>
      <c r="G15" s="8" t="s">
        <v>165</v>
      </c>
      <c r="H15" s="20">
        <v>2</v>
      </c>
      <c r="I15" s="13" t="s">
        <v>423</v>
      </c>
      <c r="J15" s="21">
        <v>45</v>
      </c>
      <c r="K15" s="13">
        <f t="shared" si="0"/>
        <v>90</v>
      </c>
      <c r="L15" s="13">
        <v>0</v>
      </c>
      <c r="M15" s="21">
        <v>4</v>
      </c>
      <c r="N15" s="21">
        <v>1</v>
      </c>
      <c r="O15" s="13">
        <f t="shared" si="1"/>
        <v>1</v>
      </c>
      <c r="P15" s="13" t="str">
        <f t="shared" si="2"/>
        <v>OK</v>
      </c>
      <c r="Q15" s="13">
        <f t="shared" si="3"/>
        <v>0</v>
      </c>
      <c r="R15" s="21" t="s">
        <v>457</v>
      </c>
      <c r="S15" s="24">
        <v>46034</v>
      </c>
    </row>
    <row r="16" spans="1:19" ht="15.75" x14ac:dyDescent="0.25">
      <c r="C16" s="47">
        <v>15</v>
      </c>
      <c r="D16" t="s">
        <v>21</v>
      </c>
      <c r="E16" t="s">
        <v>137</v>
      </c>
      <c r="F16" t="s">
        <v>155</v>
      </c>
      <c r="G16" s="8" t="s">
        <v>163</v>
      </c>
      <c r="H16" s="20">
        <v>40</v>
      </c>
      <c r="I16" s="13" t="s">
        <v>423</v>
      </c>
      <c r="J16" s="21">
        <v>4.5</v>
      </c>
      <c r="K16" s="13">
        <f t="shared" si="0"/>
        <v>180</v>
      </c>
      <c r="L16" s="13">
        <v>2</v>
      </c>
      <c r="M16" s="21">
        <v>2</v>
      </c>
      <c r="N16" s="21">
        <v>4</v>
      </c>
      <c r="O16" s="13">
        <f t="shared" si="1"/>
        <v>5</v>
      </c>
      <c r="P16" s="13" t="str">
        <f t="shared" si="2"/>
        <v>OK</v>
      </c>
      <c r="Q16" s="13">
        <f t="shared" si="3"/>
        <v>0</v>
      </c>
      <c r="R16" s="21" t="s">
        <v>457</v>
      </c>
      <c r="S16" s="24">
        <v>46034</v>
      </c>
    </row>
    <row r="17" spans="3:19" ht="15.75" x14ac:dyDescent="0.25">
      <c r="C17" s="47">
        <v>16</v>
      </c>
      <c r="D17" t="s">
        <v>22</v>
      </c>
      <c r="E17" t="s">
        <v>138</v>
      </c>
      <c r="F17" t="s">
        <v>156</v>
      </c>
      <c r="G17" s="8" t="s">
        <v>382</v>
      </c>
      <c r="H17" s="20">
        <v>4</v>
      </c>
      <c r="I17" s="13" t="s">
        <v>423</v>
      </c>
      <c r="J17" s="21">
        <v>0</v>
      </c>
      <c r="K17" s="13">
        <f t="shared" si="0"/>
        <v>0</v>
      </c>
      <c r="L17" s="13">
        <v>0</v>
      </c>
      <c r="M17" s="21">
        <v>0</v>
      </c>
      <c r="N17" s="21">
        <v>1</v>
      </c>
      <c r="O17" s="13">
        <f t="shared" si="1"/>
        <v>1</v>
      </c>
      <c r="P17" s="13" t="str">
        <f t="shared" si="2"/>
        <v>OK</v>
      </c>
      <c r="Q17" s="13">
        <f t="shared" si="3"/>
        <v>0</v>
      </c>
      <c r="R17" s="21" t="s">
        <v>456</v>
      </c>
      <c r="S17" s="24">
        <v>46034</v>
      </c>
    </row>
    <row r="18" spans="3:19" ht="15.75" x14ac:dyDescent="0.25">
      <c r="C18" s="47">
        <v>17</v>
      </c>
      <c r="D18" t="s">
        <v>23</v>
      </c>
      <c r="E18" t="s">
        <v>138</v>
      </c>
      <c r="F18" t="s">
        <v>156</v>
      </c>
      <c r="G18" s="8" t="s">
        <v>382</v>
      </c>
      <c r="H18" s="20">
        <v>4</v>
      </c>
      <c r="I18" s="13" t="s">
        <v>423</v>
      </c>
      <c r="J18" s="21">
        <v>0</v>
      </c>
      <c r="K18" s="13">
        <f t="shared" si="0"/>
        <v>0</v>
      </c>
      <c r="L18" s="13">
        <v>0</v>
      </c>
      <c r="M18" s="21">
        <v>0</v>
      </c>
      <c r="N18" s="21">
        <v>1</v>
      </c>
      <c r="O18" s="13">
        <f t="shared" si="1"/>
        <v>1</v>
      </c>
      <c r="P18" s="13" t="str">
        <f t="shared" si="2"/>
        <v>OK</v>
      </c>
      <c r="Q18" s="13">
        <f t="shared" si="3"/>
        <v>0</v>
      </c>
      <c r="R18" s="21" t="s">
        <v>456</v>
      </c>
      <c r="S18" s="24">
        <v>46034</v>
      </c>
    </row>
    <row r="19" spans="3:19" ht="15.75" x14ac:dyDescent="0.25">
      <c r="C19" s="47">
        <v>18</v>
      </c>
      <c r="D19" t="s">
        <v>24</v>
      </c>
      <c r="E19" t="s">
        <v>138</v>
      </c>
      <c r="F19" t="s">
        <v>156</v>
      </c>
      <c r="G19" s="8" t="s">
        <v>382</v>
      </c>
      <c r="H19" s="20">
        <v>4</v>
      </c>
      <c r="I19" s="13" t="s">
        <v>423</v>
      </c>
      <c r="J19" s="21">
        <v>0</v>
      </c>
      <c r="K19" s="13">
        <f t="shared" si="0"/>
        <v>0</v>
      </c>
      <c r="L19" s="13">
        <v>0</v>
      </c>
      <c r="M19" s="21">
        <v>0</v>
      </c>
      <c r="N19" s="21">
        <v>1</v>
      </c>
      <c r="O19" s="13">
        <f t="shared" si="1"/>
        <v>1</v>
      </c>
      <c r="P19" s="13" t="str">
        <f t="shared" si="2"/>
        <v>OK</v>
      </c>
      <c r="Q19" s="13">
        <f t="shared" si="3"/>
        <v>0</v>
      </c>
      <c r="R19" s="21" t="s">
        <v>456</v>
      </c>
      <c r="S19" s="24">
        <v>46034</v>
      </c>
    </row>
    <row r="20" spans="3:19" ht="15.75" x14ac:dyDescent="0.25">
      <c r="C20" s="47">
        <v>19</v>
      </c>
      <c r="D20" t="s">
        <v>25</v>
      </c>
      <c r="E20" t="s">
        <v>138</v>
      </c>
      <c r="F20" t="s">
        <v>155</v>
      </c>
      <c r="G20" s="8" t="s">
        <v>385</v>
      </c>
      <c r="H20" s="20">
        <v>24</v>
      </c>
      <c r="I20" s="13" t="s">
        <v>423</v>
      </c>
      <c r="J20" s="21">
        <v>48</v>
      </c>
      <c r="K20" s="13">
        <f t="shared" si="0"/>
        <v>1152</v>
      </c>
      <c r="L20" s="13">
        <v>1</v>
      </c>
      <c r="M20" s="21">
        <v>14</v>
      </c>
      <c r="N20" s="21">
        <v>8</v>
      </c>
      <c r="O20" s="13">
        <f t="shared" si="1"/>
        <v>9</v>
      </c>
      <c r="P20" s="13" t="str">
        <f t="shared" si="2"/>
        <v>OK</v>
      </c>
      <c r="Q20" s="13">
        <f t="shared" si="3"/>
        <v>0</v>
      </c>
      <c r="R20" s="21" t="s">
        <v>458</v>
      </c>
      <c r="S20" s="24">
        <v>46034</v>
      </c>
    </row>
    <row r="21" spans="3:19" ht="15.75" x14ac:dyDescent="0.25">
      <c r="C21" s="47">
        <v>20</v>
      </c>
      <c r="D21" t="s">
        <v>26</v>
      </c>
      <c r="E21" t="s">
        <v>138</v>
      </c>
      <c r="F21" t="s">
        <v>155</v>
      </c>
      <c r="G21" s="8" t="s">
        <v>386</v>
      </c>
      <c r="H21" s="20">
        <v>8</v>
      </c>
      <c r="I21" s="13" t="s">
        <v>423</v>
      </c>
      <c r="J21" s="21">
        <v>65</v>
      </c>
      <c r="K21" s="13">
        <f t="shared" si="0"/>
        <v>520</v>
      </c>
      <c r="L21" s="13">
        <v>0</v>
      </c>
      <c r="M21" s="21">
        <v>3</v>
      </c>
      <c r="N21" s="21">
        <v>4</v>
      </c>
      <c r="O21" s="13">
        <f t="shared" si="1"/>
        <v>4</v>
      </c>
      <c r="P21" s="13" t="str">
        <f t="shared" si="2"/>
        <v>OK</v>
      </c>
      <c r="Q21" s="13">
        <f t="shared" si="3"/>
        <v>0</v>
      </c>
      <c r="R21" s="21" t="s">
        <v>458</v>
      </c>
      <c r="S21" s="24">
        <v>46034</v>
      </c>
    </row>
    <row r="22" spans="3:19" ht="15.75" x14ac:dyDescent="0.25">
      <c r="C22" s="47">
        <v>21</v>
      </c>
      <c r="D22" t="s">
        <v>27</v>
      </c>
      <c r="E22" t="s">
        <v>138</v>
      </c>
      <c r="F22" t="s">
        <v>155</v>
      </c>
      <c r="G22" s="8" t="s">
        <v>163</v>
      </c>
      <c r="H22" s="20">
        <v>32</v>
      </c>
      <c r="I22" s="13" t="s">
        <v>427</v>
      </c>
      <c r="J22" s="21">
        <v>9.5</v>
      </c>
      <c r="K22" s="13">
        <f t="shared" si="0"/>
        <v>304</v>
      </c>
      <c r="L22" s="13">
        <v>2</v>
      </c>
      <c r="M22" s="21">
        <v>2</v>
      </c>
      <c r="N22" s="21">
        <v>8</v>
      </c>
      <c r="O22" s="13">
        <f t="shared" si="1"/>
        <v>9</v>
      </c>
      <c r="P22" s="13" t="str">
        <f t="shared" si="2"/>
        <v>OK</v>
      </c>
      <c r="Q22" s="13">
        <f t="shared" si="3"/>
        <v>0</v>
      </c>
      <c r="R22" s="21" t="s">
        <v>458</v>
      </c>
      <c r="S22" s="24">
        <v>46034</v>
      </c>
    </row>
    <row r="23" spans="3:19" ht="15.75" x14ac:dyDescent="0.25">
      <c r="C23" s="47">
        <v>22</v>
      </c>
      <c r="D23" t="s">
        <v>28</v>
      </c>
      <c r="E23" t="s">
        <v>138</v>
      </c>
      <c r="F23" t="s">
        <v>156</v>
      </c>
      <c r="G23" s="8" t="s">
        <v>369</v>
      </c>
      <c r="H23" s="20">
        <v>2</v>
      </c>
      <c r="I23" s="13" t="s">
        <v>423</v>
      </c>
      <c r="J23" s="21">
        <v>950</v>
      </c>
      <c r="K23" s="13">
        <f t="shared" si="0"/>
        <v>1900</v>
      </c>
      <c r="L23" s="13">
        <v>0</v>
      </c>
      <c r="M23" s="21">
        <v>21</v>
      </c>
      <c r="N23" s="21">
        <v>1</v>
      </c>
      <c r="O23" s="13">
        <f t="shared" si="1"/>
        <v>1</v>
      </c>
      <c r="P23" s="13" t="str">
        <f t="shared" si="2"/>
        <v>OK</v>
      </c>
      <c r="Q23" s="13">
        <f t="shared" si="3"/>
        <v>0</v>
      </c>
      <c r="R23" s="21" t="s">
        <v>456</v>
      </c>
      <c r="S23" s="24">
        <v>46034</v>
      </c>
    </row>
    <row r="24" spans="3:19" ht="15.75" x14ac:dyDescent="0.25">
      <c r="C24" s="47">
        <v>23</v>
      </c>
      <c r="D24" t="s">
        <v>29</v>
      </c>
      <c r="E24" t="s">
        <v>138</v>
      </c>
      <c r="F24" t="s">
        <v>156</v>
      </c>
      <c r="G24" s="8" t="s">
        <v>369</v>
      </c>
      <c r="H24" s="20">
        <v>2</v>
      </c>
      <c r="I24" s="13" t="s">
        <v>423</v>
      </c>
      <c r="J24" s="21">
        <v>1100</v>
      </c>
      <c r="K24" s="13">
        <f t="shared" si="0"/>
        <v>2200</v>
      </c>
      <c r="L24" s="13">
        <v>0</v>
      </c>
      <c r="M24" s="21">
        <v>21</v>
      </c>
      <c r="N24" s="21">
        <v>1</v>
      </c>
      <c r="O24" s="13">
        <f t="shared" si="1"/>
        <v>1</v>
      </c>
      <c r="P24" s="13" t="str">
        <f t="shared" si="2"/>
        <v>OK</v>
      </c>
      <c r="Q24" s="13">
        <f t="shared" si="3"/>
        <v>0</v>
      </c>
      <c r="R24" s="21" t="s">
        <v>456</v>
      </c>
      <c r="S24" s="24">
        <v>46034</v>
      </c>
    </row>
    <row r="25" spans="3:19" ht="15.75" x14ac:dyDescent="0.25">
      <c r="C25" s="47">
        <v>24</v>
      </c>
      <c r="D25" t="s">
        <v>30</v>
      </c>
      <c r="E25" t="s">
        <v>138</v>
      </c>
      <c r="F25" t="s">
        <v>156</v>
      </c>
      <c r="G25" s="8" t="s">
        <v>387</v>
      </c>
      <c r="H25" s="20">
        <v>12</v>
      </c>
      <c r="I25" s="13" t="s">
        <v>423</v>
      </c>
      <c r="J25" s="21">
        <v>125</v>
      </c>
      <c r="K25" s="13">
        <f t="shared" si="0"/>
        <v>1500</v>
      </c>
      <c r="L25" s="13">
        <v>0</v>
      </c>
      <c r="M25" s="21">
        <v>7</v>
      </c>
      <c r="N25" s="21">
        <v>2</v>
      </c>
      <c r="O25" s="13">
        <f t="shared" si="1"/>
        <v>2</v>
      </c>
      <c r="P25" s="13" t="str">
        <f t="shared" si="2"/>
        <v>OK</v>
      </c>
      <c r="Q25" s="13">
        <f t="shared" si="3"/>
        <v>0</v>
      </c>
      <c r="R25" s="21" t="s">
        <v>458</v>
      </c>
      <c r="S25" s="24">
        <v>46034</v>
      </c>
    </row>
    <row r="26" spans="3:19" ht="15.75" x14ac:dyDescent="0.25">
      <c r="C26" s="47">
        <v>25</v>
      </c>
      <c r="D26" t="s">
        <v>31</v>
      </c>
      <c r="E26" t="s">
        <v>138</v>
      </c>
      <c r="F26" t="s">
        <v>155</v>
      </c>
      <c r="G26" s="8" t="s">
        <v>380</v>
      </c>
      <c r="H26" s="20">
        <v>24</v>
      </c>
      <c r="I26" s="13" t="s">
        <v>423</v>
      </c>
      <c r="J26" s="21">
        <v>8.5</v>
      </c>
      <c r="K26" s="13">
        <f t="shared" si="0"/>
        <v>204</v>
      </c>
      <c r="L26" s="13">
        <v>2</v>
      </c>
      <c r="M26" s="21">
        <v>3</v>
      </c>
      <c r="N26" s="21">
        <v>1</v>
      </c>
      <c r="O26" s="13">
        <f t="shared" si="1"/>
        <v>2</v>
      </c>
      <c r="P26" s="13" t="str">
        <f t="shared" si="2"/>
        <v>OK</v>
      </c>
      <c r="Q26" s="13">
        <f t="shared" si="3"/>
        <v>0</v>
      </c>
      <c r="R26" s="21" t="s">
        <v>457</v>
      </c>
      <c r="S26" s="24">
        <v>46034</v>
      </c>
    </row>
    <row r="27" spans="3:19" ht="15.75" x14ac:dyDescent="0.25">
      <c r="C27" s="47">
        <v>26</v>
      </c>
      <c r="D27" t="s">
        <v>32</v>
      </c>
      <c r="E27" t="s">
        <v>138</v>
      </c>
      <c r="F27" t="s">
        <v>156</v>
      </c>
      <c r="G27" s="8" t="s">
        <v>382</v>
      </c>
      <c r="H27" s="20">
        <v>4</v>
      </c>
      <c r="I27" s="13" t="s">
        <v>423</v>
      </c>
      <c r="J27" s="21">
        <v>0</v>
      </c>
      <c r="K27" s="13">
        <f t="shared" si="0"/>
        <v>0</v>
      </c>
      <c r="L27" s="13">
        <v>0</v>
      </c>
      <c r="M27" s="21">
        <v>0</v>
      </c>
      <c r="N27" s="21">
        <v>1</v>
      </c>
      <c r="O27" s="13">
        <f t="shared" si="1"/>
        <v>1</v>
      </c>
      <c r="P27" s="13" t="str">
        <f t="shared" si="2"/>
        <v>OK</v>
      </c>
      <c r="Q27" s="13">
        <f t="shared" si="3"/>
        <v>0</v>
      </c>
      <c r="R27" s="21" t="s">
        <v>456</v>
      </c>
      <c r="S27" s="24">
        <v>46034</v>
      </c>
    </row>
    <row r="28" spans="3:19" ht="15.75" x14ac:dyDescent="0.25">
      <c r="C28" s="47">
        <v>27</v>
      </c>
      <c r="D28" t="s">
        <v>33</v>
      </c>
      <c r="E28" t="s">
        <v>138</v>
      </c>
      <c r="F28" t="s">
        <v>156</v>
      </c>
      <c r="G28" s="8" t="s">
        <v>388</v>
      </c>
      <c r="H28" s="20">
        <v>6</v>
      </c>
      <c r="I28" s="13" t="s">
        <v>423</v>
      </c>
      <c r="J28" s="21">
        <v>185</v>
      </c>
      <c r="K28" s="13">
        <f t="shared" si="0"/>
        <v>1110</v>
      </c>
      <c r="L28" s="13">
        <v>0</v>
      </c>
      <c r="M28" s="21">
        <v>5</v>
      </c>
      <c r="N28" s="21">
        <v>1</v>
      </c>
      <c r="O28" s="13">
        <f t="shared" si="1"/>
        <v>1</v>
      </c>
      <c r="P28" s="13" t="str">
        <f t="shared" si="2"/>
        <v>OK</v>
      </c>
      <c r="Q28" s="13">
        <f t="shared" si="3"/>
        <v>0</v>
      </c>
      <c r="R28" s="21" t="s">
        <v>458</v>
      </c>
      <c r="S28" s="24">
        <v>46034</v>
      </c>
    </row>
    <row r="29" spans="3:19" ht="15.75" x14ac:dyDescent="0.25">
      <c r="C29" s="47">
        <v>28</v>
      </c>
      <c r="D29" t="s">
        <v>34</v>
      </c>
      <c r="E29" t="s">
        <v>138</v>
      </c>
      <c r="F29" t="s">
        <v>155</v>
      </c>
      <c r="G29" s="8" t="s">
        <v>389</v>
      </c>
      <c r="H29" s="20">
        <v>12</v>
      </c>
      <c r="I29" s="13" t="s">
        <v>423</v>
      </c>
      <c r="J29" s="21">
        <v>55</v>
      </c>
      <c r="K29" s="13">
        <f t="shared" si="0"/>
        <v>660</v>
      </c>
      <c r="L29" s="13">
        <v>1</v>
      </c>
      <c r="M29" s="21">
        <v>2</v>
      </c>
      <c r="N29" s="21">
        <v>4</v>
      </c>
      <c r="O29" s="13">
        <f t="shared" si="1"/>
        <v>5</v>
      </c>
      <c r="P29" s="13" t="str">
        <f t="shared" si="2"/>
        <v>OK</v>
      </c>
      <c r="Q29" s="13">
        <f t="shared" si="3"/>
        <v>0</v>
      </c>
      <c r="R29" s="21" t="s">
        <v>458</v>
      </c>
      <c r="S29" s="24">
        <v>46034</v>
      </c>
    </row>
    <row r="30" spans="3:19" ht="15.75" x14ac:dyDescent="0.25">
      <c r="C30" s="47">
        <v>29</v>
      </c>
      <c r="D30" t="s">
        <v>35</v>
      </c>
      <c r="E30" t="s">
        <v>138</v>
      </c>
      <c r="F30" t="s">
        <v>157</v>
      </c>
      <c r="G30" s="8" t="s">
        <v>163</v>
      </c>
      <c r="H30" s="20">
        <v>40</v>
      </c>
      <c r="I30" s="13" t="s">
        <v>423</v>
      </c>
      <c r="J30" s="21">
        <v>1.25</v>
      </c>
      <c r="K30" s="13">
        <f t="shared" si="0"/>
        <v>50</v>
      </c>
      <c r="L30" s="13">
        <v>2</v>
      </c>
      <c r="M30" s="21">
        <v>2</v>
      </c>
      <c r="N30" s="21">
        <v>10</v>
      </c>
      <c r="O30" s="13">
        <f t="shared" si="1"/>
        <v>11</v>
      </c>
      <c r="P30" s="13" t="str">
        <f t="shared" si="2"/>
        <v>OK</v>
      </c>
      <c r="Q30" s="13">
        <f t="shared" si="3"/>
        <v>0</v>
      </c>
      <c r="R30" s="21" t="s">
        <v>457</v>
      </c>
      <c r="S30" s="24">
        <v>46034</v>
      </c>
    </row>
    <row r="31" spans="3:19" ht="15.75" x14ac:dyDescent="0.25">
      <c r="C31" s="47">
        <v>30</v>
      </c>
      <c r="D31" t="s">
        <v>36</v>
      </c>
      <c r="E31" t="s">
        <v>138</v>
      </c>
      <c r="F31" t="s">
        <v>157</v>
      </c>
      <c r="G31" s="8" t="s">
        <v>163</v>
      </c>
      <c r="H31" s="20">
        <v>100</v>
      </c>
      <c r="I31" s="13" t="s">
        <v>423</v>
      </c>
      <c r="J31" s="21">
        <v>0.85</v>
      </c>
      <c r="K31" s="13">
        <f t="shared" si="0"/>
        <v>85</v>
      </c>
      <c r="L31" s="13">
        <v>2</v>
      </c>
      <c r="M31" s="21">
        <v>2</v>
      </c>
      <c r="N31" s="21">
        <v>10</v>
      </c>
      <c r="O31" s="13">
        <f t="shared" si="1"/>
        <v>11</v>
      </c>
      <c r="P31" s="13" t="str">
        <f t="shared" si="2"/>
        <v>OK</v>
      </c>
      <c r="Q31" s="13">
        <f t="shared" si="3"/>
        <v>0</v>
      </c>
      <c r="R31" s="21" t="s">
        <v>457</v>
      </c>
      <c r="S31" s="24">
        <v>46034</v>
      </c>
    </row>
    <row r="32" spans="3:19" ht="15.75" x14ac:dyDescent="0.25">
      <c r="C32" s="47">
        <v>31</v>
      </c>
      <c r="D32" t="s">
        <v>37</v>
      </c>
      <c r="E32" t="s">
        <v>138</v>
      </c>
      <c r="F32" t="s">
        <v>157</v>
      </c>
      <c r="G32" s="8" t="s">
        <v>163</v>
      </c>
      <c r="H32" s="20">
        <v>80</v>
      </c>
      <c r="I32" s="13" t="s">
        <v>423</v>
      </c>
      <c r="J32" s="21">
        <v>2.4500000000000002</v>
      </c>
      <c r="K32" s="13">
        <f t="shared" si="0"/>
        <v>196</v>
      </c>
      <c r="L32" s="13">
        <v>10</v>
      </c>
      <c r="M32" s="21">
        <v>2</v>
      </c>
      <c r="N32" s="21">
        <v>20</v>
      </c>
      <c r="O32" s="13">
        <f t="shared" si="1"/>
        <v>21</v>
      </c>
      <c r="P32" s="13" t="str">
        <f t="shared" si="2"/>
        <v>OK</v>
      </c>
      <c r="Q32" s="13">
        <f t="shared" si="3"/>
        <v>0</v>
      </c>
      <c r="R32" s="21" t="s">
        <v>457</v>
      </c>
      <c r="S32" s="24">
        <v>46034</v>
      </c>
    </row>
    <row r="33" spans="3:19" ht="15.75" x14ac:dyDescent="0.25">
      <c r="C33" s="47">
        <v>32</v>
      </c>
      <c r="D33" t="s">
        <v>38</v>
      </c>
      <c r="E33" t="s">
        <v>138</v>
      </c>
      <c r="F33" t="s">
        <v>155</v>
      </c>
      <c r="G33" s="8" t="s">
        <v>390</v>
      </c>
      <c r="H33" s="20">
        <v>40</v>
      </c>
      <c r="I33" s="13" t="s">
        <v>423</v>
      </c>
      <c r="J33" s="21">
        <v>8.5</v>
      </c>
      <c r="K33" s="13">
        <f t="shared" si="0"/>
        <v>340</v>
      </c>
      <c r="L33" s="13">
        <v>3</v>
      </c>
      <c r="M33" s="21">
        <v>5</v>
      </c>
      <c r="N33" s="21">
        <v>4</v>
      </c>
      <c r="O33" s="13">
        <f t="shared" si="1"/>
        <v>5</v>
      </c>
      <c r="P33" s="13" t="str">
        <f t="shared" si="2"/>
        <v>OK</v>
      </c>
      <c r="Q33" s="13">
        <f t="shared" si="3"/>
        <v>0</v>
      </c>
      <c r="R33" s="21" t="s">
        <v>457</v>
      </c>
      <c r="S33" s="24">
        <v>46034</v>
      </c>
    </row>
    <row r="34" spans="3:19" ht="15.75" x14ac:dyDescent="0.25">
      <c r="C34" s="47">
        <v>33</v>
      </c>
      <c r="D34" t="s">
        <v>39</v>
      </c>
      <c r="E34" t="s">
        <v>138</v>
      </c>
      <c r="F34" t="s">
        <v>155</v>
      </c>
      <c r="G34" s="8" t="s">
        <v>381</v>
      </c>
      <c r="H34" s="20">
        <v>8</v>
      </c>
      <c r="I34" s="13" t="s">
        <v>423</v>
      </c>
      <c r="J34" s="21">
        <v>25</v>
      </c>
      <c r="K34" s="13">
        <f t="shared" ref="K34:K65" si="4">H34*J34</f>
        <v>200</v>
      </c>
      <c r="L34" s="13">
        <v>0</v>
      </c>
      <c r="M34" s="21">
        <v>5</v>
      </c>
      <c r="N34" s="21">
        <v>1</v>
      </c>
      <c r="O34" s="13">
        <f t="shared" si="1"/>
        <v>1</v>
      </c>
      <c r="P34" s="13" t="str">
        <f t="shared" si="2"/>
        <v>OK</v>
      </c>
      <c r="Q34" s="13">
        <f t="shared" si="3"/>
        <v>0</v>
      </c>
      <c r="R34" s="21" t="s">
        <v>458</v>
      </c>
      <c r="S34" s="24">
        <v>46034</v>
      </c>
    </row>
    <row r="35" spans="3:19" ht="15.75" x14ac:dyDescent="0.25">
      <c r="C35" s="47">
        <v>34</v>
      </c>
      <c r="D35" t="s">
        <v>40</v>
      </c>
      <c r="E35" t="s">
        <v>138</v>
      </c>
      <c r="F35" t="s">
        <v>155</v>
      </c>
      <c r="G35" s="8" t="s">
        <v>382</v>
      </c>
      <c r="H35" s="20">
        <v>4</v>
      </c>
      <c r="I35" s="13" t="s">
        <v>423</v>
      </c>
      <c r="J35" s="21">
        <v>0</v>
      </c>
      <c r="K35" s="13">
        <f t="shared" si="4"/>
        <v>0</v>
      </c>
      <c r="L35" s="13">
        <v>0</v>
      </c>
      <c r="M35" s="21">
        <v>0</v>
      </c>
      <c r="N35" s="21">
        <v>1</v>
      </c>
      <c r="O35" s="13">
        <f t="shared" si="1"/>
        <v>1</v>
      </c>
      <c r="P35" s="13" t="str">
        <f t="shared" si="2"/>
        <v>OK</v>
      </c>
      <c r="Q35" s="13">
        <f t="shared" si="3"/>
        <v>0</v>
      </c>
      <c r="R35" s="21" t="s">
        <v>458</v>
      </c>
      <c r="S35" s="24">
        <v>46034</v>
      </c>
    </row>
    <row r="36" spans="3:19" ht="15.75" x14ac:dyDescent="0.25">
      <c r="C36" s="47">
        <v>35</v>
      </c>
      <c r="D36" t="s">
        <v>41</v>
      </c>
      <c r="E36" t="s">
        <v>138</v>
      </c>
      <c r="F36" t="s">
        <v>156</v>
      </c>
      <c r="G36" s="8" t="s">
        <v>391</v>
      </c>
      <c r="H36" s="20">
        <v>2</v>
      </c>
      <c r="I36" s="13" t="s">
        <v>423</v>
      </c>
      <c r="J36" s="21">
        <v>240</v>
      </c>
      <c r="K36" s="13">
        <f t="shared" si="4"/>
        <v>480</v>
      </c>
      <c r="L36" s="13">
        <v>0</v>
      </c>
      <c r="M36" s="21">
        <v>7</v>
      </c>
      <c r="N36" s="21">
        <v>1</v>
      </c>
      <c r="O36" s="13">
        <f t="shared" si="1"/>
        <v>1</v>
      </c>
      <c r="P36" s="13" t="str">
        <f t="shared" si="2"/>
        <v>OK</v>
      </c>
      <c r="Q36" s="13">
        <f t="shared" si="3"/>
        <v>0</v>
      </c>
      <c r="R36" s="21" t="s">
        <v>458</v>
      </c>
      <c r="S36" s="24">
        <v>46034</v>
      </c>
    </row>
    <row r="37" spans="3:19" ht="15.75" x14ac:dyDescent="0.25">
      <c r="C37" s="47">
        <v>36</v>
      </c>
      <c r="D37" t="s">
        <v>42</v>
      </c>
      <c r="E37" t="s">
        <v>139</v>
      </c>
      <c r="F37" t="s">
        <v>156</v>
      </c>
      <c r="G37" s="8" t="s">
        <v>370</v>
      </c>
      <c r="H37" s="20">
        <v>8</v>
      </c>
      <c r="I37" s="13" t="s">
        <v>423</v>
      </c>
      <c r="J37" s="21">
        <v>115</v>
      </c>
      <c r="K37" s="13">
        <f t="shared" si="4"/>
        <v>920</v>
      </c>
      <c r="L37" s="13">
        <v>0</v>
      </c>
      <c r="M37" s="21">
        <v>10</v>
      </c>
      <c r="N37" s="21">
        <v>1</v>
      </c>
      <c r="O37" s="13">
        <f t="shared" si="1"/>
        <v>1</v>
      </c>
      <c r="P37" s="13" t="str">
        <f t="shared" si="2"/>
        <v>OK</v>
      </c>
      <c r="Q37" s="13">
        <f t="shared" si="3"/>
        <v>0</v>
      </c>
      <c r="R37" s="21" t="s">
        <v>458</v>
      </c>
      <c r="S37" s="24">
        <v>46034</v>
      </c>
    </row>
    <row r="38" spans="3:19" ht="15.75" x14ac:dyDescent="0.25">
      <c r="C38" s="47">
        <v>37</v>
      </c>
      <c r="D38" t="s">
        <v>43</v>
      </c>
      <c r="E38" t="s">
        <v>139</v>
      </c>
      <c r="F38" t="s">
        <v>156</v>
      </c>
      <c r="G38" s="8" t="s">
        <v>370</v>
      </c>
      <c r="H38" s="20">
        <v>6</v>
      </c>
      <c r="I38" s="13" t="s">
        <v>423</v>
      </c>
      <c r="J38" s="21">
        <v>225</v>
      </c>
      <c r="K38" s="13">
        <f t="shared" si="4"/>
        <v>1350</v>
      </c>
      <c r="L38" s="13">
        <v>0</v>
      </c>
      <c r="M38" s="21">
        <v>10</v>
      </c>
      <c r="N38" s="21">
        <v>1</v>
      </c>
      <c r="O38" s="13">
        <f t="shared" si="1"/>
        <v>1</v>
      </c>
      <c r="P38" s="13" t="str">
        <f t="shared" si="2"/>
        <v>OK</v>
      </c>
      <c r="Q38" s="13">
        <f t="shared" si="3"/>
        <v>0</v>
      </c>
      <c r="R38" s="21" t="s">
        <v>456</v>
      </c>
      <c r="S38" s="24">
        <v>46034</v>
      </c>
    </row>
    <row r="39" spans="3:19" ht="15.75" x14ac:dyDescent="0.25">
      <c r="C39" s="47">
        <v>38</v>
      </c>
      <c r="D39" t="s">
        <v>44</v>
      </c>
      <c r="E39" t="s">
        <v>139</v>
      </c>
      <c r="F39" t="s">
        <v>156</v>
      </c>
      <c r="G39" s="8" t="s">
        <v>370</v>
      </c>
      <c r="H39" s="20">
        <v>12</v>
      </c>
      <c r="I39" s="13" t="s">
        <v>424</v>
      </c>
      <c r="J39" s="21">
        <v>65</v>
      </c>
      <c r="K39" s="13">
        <f t="shared" si="4"/>
        <v>780</v>
      </c>
      <c r="L39" s="13">
        <v>0</v>
      </c>
      <c r="M39" s="21">
        <v>10</v>
      </c>
      <c r="N39" s="21">
        <v>4</v>
      </c>
      <c r="O39" s="13">
        <f t="shared" si="1"/>
        <v>4</v>
      </c>
      <c r="P39" s="13" t="str">
        <f t="shared" si="2"/>
        <v>OK</v>
      </c>
      <c r="Q39" s="13">
        <f t="shared" si="3"/>
        <v>0</v>
      </c>
      <c r="R39" s="21" t="s">
        <v>458</v>
      </c>
      <c r="S39" s="24">
        <v>46034</v>
      </c>
    </row>
    <row r="40" spans="3:19" ht="15.75" x14ac:dyDescent="0.25">
      <c r="C40" s="47">
        <v>39</v>
      </c>
      <c r="D40" t="s">
        <v>45</v>
      </c>
      <c r="E40" t="s">
        <v>139</v>
      </c>
      <c r="F40" t="s">
        <v>155</v>
      </c>
      <c r="G40" s="8" t="s">
        <v>392</v>
      </c>
      <c r="H40" s="20">
        <v>3</v>
      </c>
      <c r="I40" s="13" t="s">
        <v>423</v>
      </c>
      <c r="J40" s="21">
        <v>185</v>
      </c>
      <c r="K40" s="13">
        <f t="shared" si="4"/>
        <v>555</v>
      </c>
      <c r="L40" s="13">
        <v>0</v>
      </c>
      <c r="M40" s="21">
        <v>7</v>
      </c>
      <c r="N40" s="21">
        <v>1</v>
      </c>
      <c r="O40" s="13">
        <f t="shared" si="1"/>
        <v>1</v>
      </c>
      <c r="P40" s="13" t="str">
        <f t="shared" si="2"/>
        <v>OK</v>
      </c>
      <c r="Q40" s="13">
        <f t="shared" si="3"/>
        <v>0</v>
      </c>
      <c r="R40" s="21" t="s">
        <v>456</v>
      </c>
      <c r="S40" s="24">
        <v>46034</v>
      </c>
    </row>
    <row r="41" spans="3:19" ht="15.75" x14ac:dyDescent="0.25">
      <c r="C41" s="47">
        <v>40</v>
      </c>
      <c r="D41" t="s">
        <v>46</v>
      </c>
      <c r="E41" t="s">
        <v>139</v>
      </c>
      <c r="F41" t="s">
        <v>155</v>
      </c>
      <c r="G41" s="8" t="s">
        <v>392</v>
      </c>
      <c r="H41" s="20">
        <v>2</v>
      </c>
      <c r="I41" s="13" t="s">
        <v>423</v>
      </c>
      <c r="J41" s="21">
        <v>350</v>
      </c>
      <c r="K41" s="13">
        <f t="shared" si="4"/>
        <v>700</v>
      </c>
      <c r="L41" s="13">
        <v>0</v>
      </c>
      <c r="M41" s="21">
        <v>7</v>
      </c>
      <c r="N41" s="21">
        <v>1</v>
      </c>
      <c r="O41" s="13">
        <f t="shared" si="1"/>
        <v>1</v>
      </c>
      <c r="P41" s="13" t="str">
        <f t="shared" si="2"/>
        <v>OK</v>
      </c>
      <c r="Q41" s="13">
        <f t="shared" si="3"/>
        <v>0</v>
      </c>
      <c r="R41" s="21" t="s">
        <v>458</v>
      </c>
      <c r="S41" s="24">
        <v>46034</v>
      </c>
    </row>
    <row r="42" spans="3:19" ht="15.75" x14ac:dyDescent="0.25">
      <c r="C42" s="47">
        <v>41</v>
      </c>
      <c r="D42" t="s">
        <v>47</v>
      </c>
      <c r="E42" t="s">
        <v>139</v>
      </c>
      <c r="F42" t="s">
        <v>155</v>
      </c>
      <c r="G42" s="8" t="s">
        <v>392</v>
      </c>
      <c r="H42" s="20">
        <v>2</v>
      </c>
      <c r="I42" s="13" t="s">
        <v>423</v>
      </c>
      <c r="J42" s="21">
        <v>115</v>
      </c>
      <c r="K42" s="13">
        <f t="shared" si="4"/>
        <v>230</v>
      </c>
      <c r="L42" s="13">
        <v>0</v>
      </c>
      <c r="M42" s="21">
        <v>7</v>
      </c>
      <c r="N42" s="21">
        <v>1</v>
      </c>
      <c r="O42" s="13">
        <f t="shared" si="1"/>
        <v>1</v>
      </c>
      <c r="P42" s="13" t="str">
        <f t="shared" si="2"/>
        <v>OK</v>
      </c>
      <c r="Q42" s="13">
        <f t="shared" si="3"/>
        <v>0</v>
      </c>
      <c r="R42" s="21" t="s">
        <v>458</v>
      </c>
      <c r="S42" s="24">
        <v>46034</v>
      </c>
    </row>
    <row r="43" spans="3:19" ht="15.75" x14ac:dyDescent="0.25">
      <c r="C43" s="47">
        <v>42</v>
      </c>
      <c r="D43" t="s">
        <v>48</v>
      </c>
      <c r="E43" t="s">
        <v>139</v>
      </c>
      <c r="F43" t="s">
        <v>157</v>
      </c>
      <c r="G43" s="8" t="s">
        <v>164</v>
      </c>
      <c r="H43" s="20">
        <v>40</v>
      </c>
      <c r="I43" s="13" t="s">
        <v>422</v>
      </c>
      <c r="J43" s="21">
        <v>12</v>
      </c>
      <c r="K43" s="13">
        <f t="shared" si="4"/>
        <v>480</v>
      </c>
      <c r="L43" s="13">
        <v>1</v>
      </c>
      <c r="M43" s="21">
        <v>5</v>
      </c>
      <c r="N43" s="21">
        <v>1</v>
      </c>
      <c r="O43" s="13">
        <f t="shared" si="1"/>
        <v>2</v>
      </c>
      <c r="P43" s="13" t="str">
        <f t="shared" si="2"/>
        <v>OK</v>
      </c>
      <c r="Q43" s="13">
        <f t="shared" si="3"/>
        <v>0</v>
      </c>
      <c r="R43" s="21" t="s">
        <v>458</v>
      </c>
      <c r="S43" s="24">
        <v>46034</v>
      </c>
    </row>
    <row r="44" spans="3:19" ht="15.75" x14ac:dyDescent="0.25">
      <c r="C44" s="47">
        <v>43</v>
      </c>
      <c r="D44" t="s">
        <v>49</v>
      </c>
      <c r="E44" t="s">
        <v>139</v>
      </c>
      <c r="F44" t="s">
        <v>157</v>
      </c>
      <c r="G44" s="8" t="s">
        <v>164</v>
      </c>
      <c r="H44" s="20">
        <v>30</v>
      </c>
      <c r="I44" s="13" t="s">
        <v>423</v>
      </c>
      <c r="J44" s="21">
        <v>16</v>
      </c>
      <c r="K44" s="13">
        <f t="shared" si="4"/>
        <v>480</v>
      </c>
      <c r="L44" s="13">
        <v>4</v>
      </c>
      <c r="M44" s="21">
        <v>5</v>
      </c>
      <c r="N44" s="21">
        <v>1</v>
      </c>
      <c r="O44" s="13">
        <f t="shared" si="1"/>
        <v>2</v>
      </c>
      <c r="P44" s="13" t="str">
        <f t="shared" si="2"/>
        <v>OK</v>
      </c>
      <c r="Q44" s="13">
        <f t="shared" si="3"/>
        <v>0</v>
      </c>
      <c r="R44" s="21" t="s">
        <v>457</v>
      </c>
      <c r="S44" s="24">
        <v>46034</v>
      </c>
    </row>
    <row r="45" spans="3:19" ht="15.75" x14ac:dyDescent="0.25">
      <c r="C45" s="47">
        <v>44</v>
      </c>
      <c r="D45" t="s">
        <v>50</v>
      </c>
      <c r="E45" t="s">
        <v>139</v>
      </c>
      <c r="F45" t="s">
        <v>159</v>
      </c>
      <c r="G45" s="8" t="s">
        <v>393</v>
      </c>
      <c r="H45" s="20">
        <v>6</v>
      </c>
      <c r="I45" s="13" t="s">
        <v>425</v>
      </c>
      <c r="J45" s="21">
        <v>18</v>
      </c>
      <c r="K45" s="13">
        <f t="shared" si="4"/>
        <v>108</v>
      </c>
      <c r="L45" s="13">
        <v>1</v>
      </c>
      <c r="M45" s="21">
        <v>2</v>
      </c>
      <c r="N45" s="21">
        <v>2</v>
      </c>
      <c r="O45" s="13">
        <f t="shared" si="1"/>
        <v>3</v>
      </c>
      <c r="P45" s="13" t="str">
        <f t="shared" si="2"/>
        <v>OK</v>
      </c>
      <c r="Q45" s="13">
        <f t="shared" si="3"/>
        <v>0</v>
      </c>
      <c r="R45" s="21" t="s">
        <v>457</v>
      </c>
      <c r="S45" s="24">
        <v>46034</v>
      </c>
    </row>
    <row r="46" spans="3:19" ht="15.75" x14ac:dyDescent="0.25">
      <c r="C46" s="47">
        <v>45</v>
      </c>
      <c r="D46" t="s">
        <v>51</v>
      </c>
      <c r="E46" t="s">
        <v>139</v>
      </c>
      <c r="F46" t="s">
        <v>161</v>
      </c>
      <c r="G46" s="8" t="s">
        <v>370</v>
      </c>
      <c r="H46" s="20">
        <v>4</v>
      </c>
      <c r="I46" s="13" t="s">
        <v>423</v>
      </c>
      <c r="J46" s="21">
        <v>45</v>
      </c>
      <c r="K46" s="13">
        <f t="shared" si="4"/>
        <v>180</v>
      </c>
      <c r="L46" s="13">
        <v>0</v>
      </c>
      <c r="M46" s="21">
        <v>5</v>
      </c>
      <c r="N46" s="21">
        <v>1</v>
      </c>
      <c r="O46" s="13">
        <f t="shared" si="1"/>
        <v>1</v>
      </c>
      <c r="P46" s="13" t="str">
        <f t="shared" si="2"/>
        <v>OK</v>
      </c>
      <c r="Q46" s="13">
        <f t="shared" si="3"/>
        <v>0</v>
      </c>
      <c r="R46" s="21" t="s">
        <v>458</v>
      </c>
      <c r="S46" s="24">
        <v>46034</v>
      </c>
    </row>
    <row r="47" spans="3:19" ht="15.75" x14ac:dyDescent="0.25">
      <c r="C47" s="47">
        <v>46</v>
      </c>
      <c r="D47" t="s">
        <v>52</v>
      </c>
      <c r="E47" t="s">
        <v>139</v>
      </c>
      <c r="F47" t="s">
        <v>160</v>
      </c>
      <c r="G47" s="8" t="s">
        <v>163</v>
      </c>
      <c r="H47" s="20">
        <v>3</v>
      </c>
      <c r="I47" s="13" t="s">
        <v>423</v>
      </c>
      <c r="J47" s="21">
        <v>35</v>
      </c>
      <c r="K47" s="13">
        <f t="shared" si="4"/>
        <v>105</v>
      </c>
      <c r="L47" s="13">
        <v>0</v>
      </c>
      <c r="M47" s="21">
        <v>3</v>
      </c>
      <c r="N47" s="21">
        <v>1</v>
      </c>
      <c r="O47" s="13">
        <f t="shared" si="1"/>
        <v>1</v>
      </c>
      <c r="P47" s="13" t="str">
        <f t="shared" si="2"/>
        <v>OK</v>
      </c>
      <c r="Q47" s="13">
        <f t="shared" si="3"/>
        <v>0</v>
      </c>
      <c r="R47" s="21" t="s">
        <v>458</v>
      </c>
      <c r="S47" s="24">
        <v>46034</v>
      </c>
    </row>
    <row r="48" spans="3:19" ht="15.75" x14ac:dyDescent="0.25">
      <c r="C48" s="47">
        <v>47</v>
      </c>
      <c r="D48" t="s">
        <v>53</v>
      </c>
      <c r="E48" t="s">
        <v>139</v>
      </c>
      <c r="F48" t="s">
        <v>157</v>
      </c>
      <c r="G48" s="8" t="s">
        <v>163</v>
      </c>
      <c r="H48" s="20">
        <v>20</v>
      </c>
      <c r="I48" s="13" t="s">
        <v>428</v>
      </c>
      <c r="J48" s="21">
        <v>4.5</v>
      </c>
      <c r="K48" s="13">
        <f t="shared" si="4"/>
        <v>90</v>
      </c>
      <c r="L48" s="13">
        <v>2</v>
      </c>
      <c r="M48" s="21">
        <v>2</v>
      </c>
      <c r="N48" s="21">
        <v>4</v>
      </c>
      <c r="O48" s="13">
        <f t="shared" si="1"/>
        <v>5</v>
      </c>
      <c r="P48" s="13" t="str">
        <f t="shared" si="2"/>
        <v>OK</v>
      </c>
      <c r="Q48" s="13">
        <f t="shared" si="3"/>
        <v>0</v>
      </c>
      <c r="R48" s="21" t="s">
        <v>457</v>
      </c>
      <c r="S48" s="24">
        <v>46034</v>
      </c>
    </row>
    <row r="49" spans="3:19" ht="15.75" x14ac:dyDescent="0.25">
      <c r="C49" s="47">
        <v>48</v>
      </c>
      <c r="D49" t="s">
        <v>54</v>
      </c>
      <c r="E49" t="s">
        <v>139</v>
      </c>
      <c r="F49" t="s">
        <v>157</v>
      </c>
      <c r="G49" s="8" t="s">
        <v>164</v>
      </c>
      <c r="H49" s="20">
        <v>12</v>
      </c>
      <c r="I49" s="13" t="s">
        <v>423</v>
      </c>
      <c r="J49" s="21">
        <v>9.5</v>
      </c>
      <c r="K49" s="13">
        <f t="shared" si="4"/>
        <v>114</v>
      </c>
      <c r="L49" s="13">
        <v>2</v>
      </c>
      <c r="M49" s="21">
        <v>5</v>
      </c>
      <c r="N49" s="21">
        <v>2</v>
      </c>
      <c r="O49" s="13">
        <f t="shared" si="1"/>
        <v>3</v>
      </c>
      <c r="P49" s="13" t="str">
        <f t="shared" si="2"/>
        <v>OK</v>
      </c>
      <c r="Q49" s="13">
        <f t="shared" si="3"/>
        <v>0</v>
      </c>
      <c r="R49" s="21" t="s">
        <v>457</v>
      </c>
      <c r="S49" s="24">
        <v>46034</v>
      </c>
    </row>
    <row r="50" spans="3:19" ht="15.75" x14ac:dyDescent="0.25">
      <c r="C50" s="47">
        <v>49</v>
      </c>
      <c r="D50" t="s">
        <v>55</v>
      </c>
      <c r="E50" t="s">
        <v>139</v>
      </c>
      <c r="F50" t="s">
        <v>157</v>
      </c>
      <c r="G50" s="8" t="s">
        <v>163</v>
      </c>
      <c r="H50" s="20">
        <v>50</v>
      </c>
      <c r="I50" s="13" t="s">
        <v>423</v>
      </c>
      <c r="J50" s="21">
        <v>1.25</v>
      </c>
      <c r="K50" s="13">
        <f t="shared" si="4"/>
        <v>62.5</v>
      </c>
      <c r="L50" s="13">
        <v>4</v>
      </c>
      <c r="M50" s="21">
        <v>2</v>
      </c>
      <c r="N50" s="21">
        <v>10</v>
      </c>
      <c r="O50" s="13">
        <f t="shared" si="1"/>
        <v>11</v>
      </c>
      <c r="P50" s="13" t="str">
        <f t="shared" si="2"/>
        <v>OK</v>
      </c>
      <c r="Q50" s="13">
        <f t="shared" si="3"/>
        <v>0</v>
      </c>
      <c r="R50" s="21" t="s">
        <v>457</v>
      </c>
      <c r="S50" s="24">
        <v>46034</v>
      </c>
    </row>
    <row r="51" spans="3:19" ht="15.75" x14ac:dyDescent="0.25">
      <c r="C51" s="47">
        <v>50</v>
      </c>
      <c r="D51" t="s">
        <v>56</v>
      </c>
      <c r="E51" t="s">
        <v>139</v>
      </c>
      <c r="F51" t="s">
        <v>155</v>
      </c>
      <c r="G51" s="8" t="s">
        <v>381</v>
      </c>
      <c r="H51" s="20">
        <v>8</v>
      </c>
      <c r="I51" s="13" t="s">
        <v>423</v>
      </c>
      <c r="J51" s="21">
        <v>45</v>
      </c>
      <c r="K51" s="13">
        <f t="shared" si="4"/>
        <v>360</v>
      </c>
      <c r="L51" s="13">
        <v>1</v>
      </c>
      <c r="M51" s="21">
        <v>5</v>
      </c>
      <c r="N51" s="21">
        <v>1</v>
      </c>
      <c r="O51" s="13">
        <f t="shared" si="1"/>
        <v>2</v>
      </c>
      <c r="P51" s="13" t="str">
        <f t="shared" si="2"/>
        <v>OK</v>
      </c>
      <c r="Q51" s="13">
        <f t="shared" si="3"/>
        <v>0</v>
      </c>
      <c r="R51" s="21" t="s">
        <v>457</v>
      </c>
      <c r="S51" s="24">
        <v>46034</v>
      </c>
    </row>
    <row r="52" spans="3:19" ht="15.75" x14ac:dyDescent="0.25">
      <c r="C52" s="47">
        <v>51</v>
      </c>
      <c r="D52" t="s">
        <v>57</v>
      </c>
      <c r="E52" t="s">
        <v>140</v>
      </c>
      <c r="F52" t="s">
        <v>156</v>
      </c>
      <c r="G52" s="8" t="s">
        <v>394</v>
      </c>
      <c r="H52" s="20">
        <v>2</v>
      </c>
      <c r="I52" s="13" t="s">
        <v>423</v>
      </c>
      <c r="J52" s="21">
        <v>450</v>
      </c>
      <c r="K52" s="13">
        <f t="shared" si="4"/>
        <v>900</v>
      </c>
      <c r="L52" s="13">
        <v>0</v>
      </c>
      <c r="M52" s="21">
        <v>14</v>
      </c>
      <c r="N52" s="21">
        <v>1</v>
      </c>
      <c r="O52" s="13">
        <f t="shared" si="1"/>
        <v>1</v>
      </c>
      <c r="P52" s="13" t="str">
        <f t="shared" si="2"/>
        <v>OK</v>
      </c>
      <c r="Q52" s="13">
        <f t="shared" si="3"/>
        <v>0</v>
      </c>
      <c r="R52" s="21" t="s">
        <v>456</v>
      </c>
      <c r="S52" s="24">
        <v>46034</v>
      </c>
    </row>
    <row r="53" spans="3:19" ht="15.75" x14ac:dyDescent="0.25">
      <c r="C53" s="47">
        <v>52</v>
      </c>
      <c r="D53" t="s">
        <v>58</v>
      </c>
      <c r="E53" t="s">
        <v>140</v>
      </c>
      <c r="F53" t="s">
        <v>161</v>
      </c>
      <c r="G53" s="8" t="s">
        <v>395</v>
      </c>
      <c r="H53" s="20">
        <v>1</v>
      </c>
      <c r="I53" s="13" t="s">
        <v>423</v>
      </c>
      <c r="J53" s="21">
        <v>240</v>
      </c>
      <c r="K53" s="13">
        <f t="shared" si="4"/>
        <v>240</v>
      </c>
      <c r="L53" s="13">
        <v>0</v>
      </c>
      <c r="M53" s="21">
        <v>7</v>
      </c>
      <c r="N53" s="21">
        <v>1</v>
      </c>
      <c r="O53" s="13">
        <f t="shared" si="1"/>
        <v>1</v>
      </c>
      <c r="P53" s="13" t="str">
        <f t="shared" si="2"/>
        <v>REORDER</v>
      </c>
      <c r="Q53" s="13">
        <f t="shared" si="3"/>
        <v>0</v>
      </c>
      <c r="R53" s="21" t="s">
        <v>458</v>
      </c>
      <c r="S53" s="24">
        <v>46034</v>
      </c>
    </row>
    <row r="54" spans="3:19" ht="15.75" x14ac:dyDescent="0.25">
      <c r="C54" s="47">
        <v>53</v>
      </c>
      <c r="D54" t="s">
        <v>59</v>
      </c>
      <c r="E54" t="s">
        <v>140</v>
      </c>
      <c r="F54" t="s">
        <v>155</v>
      </c>
      <c r="G54" s="8" t="s">
        <v>164</v>
      </c>
      <c r="H54" s="20">
        <v>2</v>
      </c>
      <c r="I54" s="13" t="s">
        <v>423</v>
      </c>
      <c r="J54" s="21">
        <v>125</v>
      </c>
      <c r="K54" s="13">
        <f t="shared" si="4"/>
        <v>250</v>
      </c>
      <c r="L54" s="13">
        <v>0</v>
      </c>
      <c r="M54" s="21">
        <v>5</v>
      </c>
      <c r="N54" s="21">
        <v>1</v>
      </c>
      <c r="O54" s="13">
        <f t="shared" si="1"/>
        <v>1</v>
      </c>
      <c r="P54" s="13" t="str">
        <f t="shared" si="2"/>
        <v>OK</v>
      </c>
      <c r="Q54" s="13">
        <f t="shared" si="3"/>
        <v>0</v>
      </c>
      <c r="R54" s="21" t="s">
        <v>458</v>
      </c>
      <c r="S54" s="24">
        <v>46034</v>
      </c>
    </row>
    <row r="55" spans="3:19" ht="15.75" x14ac:dyDescent="0.25">
      <c r="C55" s="47">
        <v>54</v>
      </c>
      <c r="D55" t="s">
        <v>60</v>
      </c>
      <c r="E55" t="s">
        <v>140</v>
      </c>
      <c r="F55" t="s">
        <v>155</v>
      </c>
      <c r="G55" s="8" t="s">
        <v>162</v>
      </c>
      <c r="H55" s="20">
        <v>6</v>
      </c>
      <c r="I55" s="13" t="s">
        <v>422</v>
      </c>
      <c r="J55" s="21">
        <v>35</v>
      </c>
      <c r="K55" s="13">
        <f t="shared" si="4"/>
        <v>210</v>
      </c>
      <c r="L55" s="13">
        <v>0</v>
      </c>
      <c r="M55" s="21">
        <v>5</v>
      </c>
      <c r="N55" s="21">
        <v>1</v>
      </c>
      <c r="O55" s="13">
        <f t="shared" si="1"/>
        <v>1</v>
      </c>
      <c r="P55" s="13" t="str">
        <f t="shared" si="2"/>
        <v>OK</v>
      </c>
      <c r="Q55" s="13">
        <f t="shared" si="3"/>
        <v>0</v>
      </c>
      <c r="R55" s="21" t="s">
        <v>458</v>
      </c>
      <c r="S55" s="24">
        <v>46034</v>
      </c>
    </row>
    <row r="56" spans="3:19" ht="15.75" x14ac:dyDescent="0.25">
      <c r="C56" s="47">
        <v>55</v>
      </c>
      <c r="D56" t="s">
        <v>61</v>
      </c>
      <c r="E56" t="s">
        <v>140</v>
      </c>
      <c r="F56" t="s">
        <v>155</v>
      </c>
      <c r="G56" s="8" t="s">
        <v>163</v>
      </c>
      <c r="H56" s="20">
        <v>4</v>
      </c>
      <c r="I56" s="13" t="s">
        <v>423</v>
      </c>
      <c r="J56" s="21">
        <v>95</v>
      </c>
      <c r="K56" s="13">
        <f t="shared" si="4"/>
        <v>380</v>
      </c>
      <c r="L56" s="13">
        <v>0</v>
      </c>
      <c r="M56" s="21">
        <v>3</v>
      </c>
      <c r="N56" s="21">
        <v>1</v>
      </c>
      <c r="O56" s="13">
        <f t="shared" si="1"/>
        <v>1</v>
      </c>
      <c r="P56" s="13" t="str">
        <f t="shared" si="2"/>
        <v>OK</v>
      </c>
      <c r="Q56" s="13">
        <f t="shared" si="3"/>
        <v>0</v>
      </c>
      <c r="R56" s="21" t="s">
        <v>458</v>
      </c>
      <c r="S56" s="24">
        <v>46034</v>
      </c>
    </row>
    <row r="57" spans="3:19" ht="15.75" x14ac:dyDescent="0.25">
      <c r="C57" s="47">
        <v>56</v>
      </c>
      <c r="D57" t="s">
        <v>62</v>
      </c>
      <c r="E57" t="s">
        <v>140</v>
      </c>
      <c r="F57" t="s">
        <v>155</v>
      </c>
      <c r="G57" s="8" t="s">
        <v>382</v>
      </c>
      <c r="H57" s="20">
        <v>4</v>
      </c>
      <c r="I57" s="13" t="s">
        <v>423</v>
      </c>
      <c r="J57" s="21">
        <v>0</v>
      </c>
      <c r="K57" s="13">
        <f t="shared" si="4"/>
        <v>0</v>
      </c>
      <c r="L57" s="13">
        <v>0</v>
      </c>
      <c r="M57" s="21">
        <v>0</v>
      </c>
      <c r="N57" s="21">
        <v>1</v>
      </c>
      <c r="O57" s="13">
        <f t="shared" si="1"/>
        <v>1</v>
      </c>
      <c r="P57" s="13" t="str">
        <f t="shared" si="2"/>
        <v>OK</v>
      </c>
      <c r="Q57" s="13">
        <f t="shared" si="3"/>
        <v>0</v>
      </c>
      <c r="R57" s="21" t="s">
        <v>458</v>
      </c>
      <c r="S57" s="24">
        <v>46034</v>
      </c>
    </row>
    <row r="58" spans="3:19" ht="15.75" x14ac:dyDescent="0.25">
      <c r="C58" s="47">
        <v>57</v>
      </c>
      <c r="D58" t="s">
        <v>63</v>
      </c>
      <c r="E58" t="s">
        <v>140</v>
      </c>
      <c r="F58" t="s">
        <v>155</v>
      </c>
      <c r="G58" s="8" t="s">
        <v>396</v>
      </c>
      <c r="H58" s="20">
        <v>8</v>
      </c>
      <c r="I58" s="13" t="s">
        <v>423</v>
      </c>
      <c r="J58" s="21">
        <v>38</v>
      </c>
      <c r="K58" s="13">
        <f t="shared" si="4"/>
        <v>304</v>
      </c>
      <c r="L58" s="13">
        <v>0</v>
      </c>
      <c r="M58" s="21">
        <v>14</v>
      </c>
      <c r="N58" s="21">
        <v>2</v>
      </c>
      <c r="O58" s="13">
        <f t="shared" si="1"/>
        <v>2</v>
      </c>
      <c r="P58" s="13" t="str">
        <f t="shared" si="2"/>
        <v>OK</v>
      </c>
      <c r="Q58" s="13">
        <f t="shared" si="3"/>
        <v>0</v>
      </c>
      <c r="R58" s="21" t="s">
        <v>458</v>
      </c>
      <c r="S58" s="24">
        <v>46034</v>
      </c>
    </row>
    <row r="59" spans="3:19" ht="15.75" x14ac:dyDescent="0.25">
      <c r="C59" s="47">
        <v>58</v>
      </c>
      <c r="D59" t="s">
        <v>64</v>
      </c>
      <c r="E59" t="s">
        <v>140</v>
      </c>
      <c r="F59" t="s">
        <v>155</v>
      </c>
      <c r="G59" s="8" t="s">
        <v>163</v>
      </c>
      <c r="H59" s="20">
        <v>4</v>
      </c>
      <c r="I59" s="13" t="s">
        <v>423</v>
      </c>
      <c r="J59" s="21">
        <v>22</v>
      </c>
      <c r="K59" s="13">
        <f t="shared" si="4"/>
        <v>88</v>
      </c>
      <c r="L59" s="13">
        <v>0</v>
      </c>
      <c r="M59" s="21">
        <v>3</v>
      </c>
      <c r="N59" s="21">
        <v>1</v>
      </c>
      <c r="O59" s="13">
        <f t="shared" si="1"/>
        <v>1</v>
      </c>
      <c r="P59" s="13" t="str">
        <f t="shared" si="2"/>
        <v>OK</v>
      </c>
      <c r="Q59" s="13">
        <f t="shared" si="3"/>
        <v>0</v>
      </c>
      <c r="R59" s="21" t="s">
        <v>457</v>
      </c>
      <c r="S59" s="24">
        <v>46034</v>
      </c>
    </row>
    <row r="60" spans="3:19" ht="15.75" x14ac:dyDescent="0.25">
      <c r="C60" s="47">
        <v>59</v>
      </c>
      <c r="D60" t="s">
        <v>65</v>
      </c>
      <c r="E60" t="s">
        <v>140</v>
      </c>
      <c r="F60" t="s">
        <v>155</v>
      </c>
      <c r="G60" s="8" t="s">
        <v>382</v>
      </c>
      <c r="H60" s="20">
        <v>4</v>
      </c>
      <c r="I60" s="13" t="s">
        <v>423</v>
      </c>
      <c r="J60" s="21">
        <v>0</v>
      </c>
      <c r="K60" s="13">
        <f t="shared" si="4"/>
        <v>0</v>
      </c>
      <c r="L60" s="13">
        <v>0</v>
      </c>
      <c r="M60" s="21">
        <v>0</v>
      </c>
      <c r="N60" s="21">
        <v>1</v>
      </c>
      <c r="O60" s="13">
        <f t="shared" si="1"/>
        <v>1</v>
      </c>
      <c r="P60" s="13" t="str">
        <f t="shared" si="2"/>
        <v>OK</v>
      </c>
      <c r="Q60" s="13">
        <f t="shared" si="3"/>
        <v>0</v>
      </c>
      <c r="R60" s="21" t="s">
        <v>457</v>
      </c>
      <c r="S60" s="24">
        <v>46034</v>
      </c>
    </row>
    <row r="61" spans="3:19" ht="15.75" x14ac:dyDescent="0.25">
      <c r="C61" s="47">
        <v>60</v>
      </c>
      <c r="D61" t="s">
        <v>66</v>
      </c>
      <c r="E61" t="s">
        <v>140</v>
      </c>
      <c r="F61" t="s">
        <v>155</v>
      </c>
      <c r="G61" s="8" t="s">
        <v>163</v>
      </c>
      <c r="H61" s="20">
        <v>4</v>
      </c>
      <c r="I61" s="13" t="s">
        <v>423</v>
      </c>
      <c r="J61" s="21">
        <v>28</v>
      </c>
      <c r="K61" s="13">
        <f t="shared" si="4"/>
        <v>112</v>
      </c>
      <c r="L61" s="13">
        <v>0</v>
      </c>
      <c r="M61" s="21">
        <v>3</v>
      </c>
      <c r="N61" s="21">
        <v>1</v>
      </c>
      <c r="O61" s="13">
        <f t="shared" si="1"/>
        <v>1</v>
      </c>
      <c r="P61" s="13" t="str">
        <f t="shared" si="2"/>
        <v>OK</v>
      </c>
      <c r="Q61" s="13">
        <f t="shared" si="3"/>
        <v>0</v>
      </c>
      <c r="R61" s="21" t="s">
        <v>458</v>
      </c>
      <c r="S61" s="24">
        <v>46034</v>
      </c>
    </row>
    <row r="62" spans="3:19" ht="15.75" x14ac:dyDescent="0.25">
      <c r="C62" s="47">
        <v>61</v>
      </c>
      <c r="D62" t="s">
        <v>67</v>
      </c>
      <c r="E62" t="s">
        <v>140</v>
      </c>
      <c r="F62" t="s">
        <v>155</v>
      </c>
      <c r="G62" s="8" t="s">
        <v>163</v>
      </c>
      <c r="H62" s="20">
        <v>2</v>
      </c>
      <c r="I62" s="13" t="s">
        <v>423</v>
      </c>
      <c r="J62" s="21">
        <v>45</v>
      </c>
      <c r="K62" s="13">
        <f t="shared" si="4"/>
        <v>90</v>
      </c>
      <c r="L62" s="13">
        <v>0</v>
      </c>
      <c r="M62" s="21">
        <v>3</v>
      </c>
      <c r="N62" s="21">
        <v>1</v>
      </c>
      <c r="O62" s="13">
        <f t="shared" si="1"/>
        <v>1</v>
      </c>
      <c r="P62" s="13" t="str">
        <f t="shared" si="2"/>
        <v>OK</v>
      </c>
      <c r="Q62" s="13">
        <f t="shared" si="3"/>
        <v>0</v>
      </c>
      <c r="R62" s="21" t="s">
        <v>457</v>
      </c>
      <c r="S62" s="24">
        <v>46034</v>
      </c>
    </row>
    <row r="63" spans="3:19" ht="15.75" x14ac:dyDescent="0.25">
      <c r="C63" s="47">
        <v>62</v>
      </c>
      <c r="D63" t="s">
        <v>68</v>
      </c>
      <c r="E63" t="s">
        <v>140</v>
      </c>
      <c r="F63" t="s">
        <v>155</v>
      </c>
      <c r="G63" s="8" t="s">
        <v>163</v>
      </c>
      <c r="H63" s="20">
        <v>2</v>
      </c>
      <c r="I63" s="13" t="s">
        <v>423</v>
      </c>
      <c r="J63" s="21">
        <v>65</v>
      </c>
      <c r="K63" s="13">
        <f t="shared" si="4"/>
        <v>130</v>
      </c>
      <c r="L63" s="13">
        <v>0</v>
      </c>
      <c r="M63" s="21">
        <v>3</v>
      </c>
      <c r="N63" s="21">
        <v>1</v>
      </c>
      <c r="O63" s="13">
        <f t="shared" si="1"/>
        <v>1</v>
      </c>
      <c r="P63" s="13" t="str">
        <f t="shared" si="2"/>
        <v>OK</v>
      </c>
      <c r="Q63" s="13">
        <f t="shared" si="3"/>
        <v>0</v>
      </c>
      <c r="R63" s="21" t="s">
        <v>457</v>
      </c>
      <c r="S63" s="24">
        <v>46034</v>
      </c>
    </row>
    <row r="64" spans="3:19" ht="15.75" x14ac:dyDescent="0.25">
      <c r="C64" s="47">
        <v>63</v>
      </c>
      <c r="D64" t="s">
        <v>69</v>
      </c>
      <c r="E64" t="s">
        <v>140</v>
      </c>
      <c r="F64" t="s">
        <v>157</v>
      </c>
      <c r="G64" s="8" t="s">
        <v>163</v>
      </c>
      <c r="H64" s="20">
        <v>100</v>
      </c>
      <c r="I64" s="13" t="s">
        <v>423</v>
      </c>
      <c r="J64" s="21">
        <v>0.45</v>
      </c>
      <c r="K64" s="13">
        <f t="shared" si="4"/>
        <v>45</v>
      </c>
      <c r="L64" s="13">
        <v>0</v>
      </c>
      <c r="M64" s="21">
        <v>2</v>
      </c>
      <c r="N64" s="21">
        <v>10</v>
      </c>
      <c r="O64" s="13">
        <f t="shared" si="1"/>
        <v>10</v>
      </c>
      <c r="P64" s="13" t="str">
        <f t="shared" si="2"/>
        <v>OK</v>
      </c>
      <c r="Q64" s="13">
        <f t="shared" si="3"/>
        <v>0</v>
      </c>
      <c r="R64" s="21" t="s">
        <v>457</v>
      </c>
      <c r="S64" s="24">
        <v>46034</v>
      </c>
    </row>
    <row r="65" spans="3:19" ht="15.75" x14ac:dyDescent="0.25">
      <c r="C65" s="47">
        <v>64</v>
      </c>
      <c r="D65" t="s">
        <v>70</v>
      </c>
      <c r="E65" t="s">
        <v>140</v>
      </c>
      <c r="F65" t="s">
        <v>157</v>
      </c>
      <c r="G65" s="8" t="s">
        <v>163</v>
      </c>
      <c r="H65" s="20">
        <v>200</v>
      </c>
      <c r="I65" s="13" t="s">
        <v>423</v>
      </c>
      <c r="J65" s="21">
        <v>0.65</v>
      </c>
      <c r="K65" s="13">
        <f t="shared" si="4"/>
        <v>130</v>
      </c>
      <c r="L65" s="13">
        <v>5</v>
      </c>
      <c r="M65" s="21">
        <v>2</v>
      </c>
      <c r="N65" s="21">
        <v>20</v>
      </c>
      <c r="O65" s="13">
        <f t="shared" si="1"/>
        <v>21</v>
      </c>
      <c r="P65" s="13" t="str">
        <f t="shared" si="2"/>
        <v>OK</v>
      </c>
      <c r="Q65" s="13">
        <f t="shared" si="3"/>
        <v>0</v>
      </c>
      <c r="R65" s="21" t="s">
        <v>457</v>
      </c>
      <c r="S65" s="24">
        <v>46034</v>
      </c>
    </row>
    <row r="66" spans="3:19" ht="15.75" x14ac:dyDescent="0.25">
      <c r="C66" s="47">
        <v>65</v>
      </c>
      <c r="D66" t="s">
        <v>71</v>
      </c>
      <c r="E66" t="s">
        <v>140</v>
      </c>
      <c r="F66" t="s">
        <v>155</v>
      </c>
      <c r="G66" s="8" t="s">
        <v>165</v>
      </c>
      <c r="H66" s="20">
        <v>2</v>
      </c>
      <c r="I66" s="13" t="s">
        <v>423</v>
      </c>
      <c r="J66" s="21">
        <v>35</v>
      </c>
      <c r="K66" s="13">
        <f t="shared" ref="K66:K97" si="5">H66*J66</f>
        <v>70</v>
      </c>
      <c r="L66" s="13">
        <v>10</v>
      </c>
      <c r="M66" s="21">
        <v>4</v>
      </c>
      <c r="N66" s="21">
        <v>1</v>
      </c>
      <c r="O66" s="13">
        <f t="shared" si="1"/>
        <v>3</v>
      </c>
      <c r="P66" s="13" t="str">
        <f t="shared" si="2"/>
        <v>REORDER</v>
      </c>
      <c r="Q66" s="13">
        <f t="shared" si="3"/>
        <v>9</v>
      </c>
      <c r="R66" s="21" t="s">
        <v>457</v>
      </c>
      <c r="S66" s="24">
        <v>46034</v>
      </c>
    </row>
    <row r="67" spans="3:19" ht="15.75" x14ac:dyDescent="0.25">
      <c r="C67" s="47">
        <v>66</v>
      </c>
      <c r="D67" t="s">
        <v>72</v>
      </c>
      <c r="E67" t="s">
        <v>141</v>
      </c>
      <c r="F67" t="s">
        <v>156</v>
      </c>
      <c r="G67" s="8" t="s">
        <v>371</v>
      </c>
      <c r="H67" s="20">
        <v>2</v>
      </c>
      <c r="I67" s="13" t="s">
        <v>423</v>
      </c>
      <c r="J67" s="21">
        <v>750</v>
      </c>
      <c r="K67" s="13">
        <f t="shared" si="5"/>
        <v>1500</v>
      </c>
      <c r="L67" s="13">
        <v>0</v>
      </c>
      <c r="M67" s="21">
        <v>14</v>
      </c>
      <c r="N67" s="21">
        <v>1</v>
      </c>
      <c r="O67" s="13">
        <f t="shared" ref="O67:O129" si="6">ROUNDUP((((L67/30)*M67)+N67),0)</f>
        <v>1</v>
      </c>
      <c r="P67" s="13" t="str">
        <f t="shared" ref="P67:P130" si="7">IF(H67 &lt;= O67, "REORDER", "OK")</f>
        <v>OK</v>
      </c>
      <c r="Q67" s="13">
        <f t="shared" ref="Q67:Q130" si="8">IF(P67="REORDER",(L67+N67)-H67,0)</f>
        <v>0</v>
      </c>
      <c r="R67" s="21" t="s">
        <v>456</v>
      </c>
      <c r="S67" s="24">
        <v>46034</v>
      </c>
    </row>
    <row r="68" spans="3:19" ht="15.75" x14ac:dyDescent="0.25">
      <c r="C68" s="47">
        <v>67</v>
      </c>
      <c r="D68" t="s">
        <v>73</v>
      </c>
      <c r="E68" t="s">
        <v>141</v>
      </c>
      <c r="F68" t="s">
        <v>156</v>
      </c>
      <c r="G68" s="8" t="s">
        <v>397</v>
      </c>
      <c r="H68" s="20">
        <v>2</v>
      </c>
      <c r="I68" s="13" t="s">
        <v>423</v>
      </c>
      <c r="J68" s="21">
        <v>650</v>
      </c>
      <c r="K68" s="13">
        <f t="shared" si="5"/>
        <v>1300</v>
      </c>
      <c r="L68" s="13">
        <v>0</v>
      </c>
      <c r="M68" s="21">
        <v>14</v>
      </c>
      <c r="N68" s="21">
        <v>1</v>
      </c>
      <c r="O68" s="13">
        <f t="shared" si="6"/>
        <v>1</v>
      </c>
      <c r="P68" s="13" t="str">
        <f t="shared" si="7"/>
        <v>OK</v>
      </c>
      <c r="Q68" s="13">
        <f t="shared" si="8"/>
        <v>0</v>
      </c>
      <c r="R68" s="21" t="s">
        <v>456</v>
      </c>
      <c r="S68" s="24">
        <v>46034</v>
      </c>
    </row>
    <row r="69" spans="3:19" ht="15.75" x14ac:dyDescent="0.25">
      <c r="C69" s="47">
        <v>68</v>
      </c>
      <c r="D69" t="s">
        <v>74</v>
      </c>
      <c r="E69" t="s">
        <v>141</v>
      </c>
      <c r="F69" t="s">
        <v>156</v>
      </c>
      <c r="G69" s="8" t="s">
        <v>397</v>
      </c>
      <c r="H69" s="20">
        <v>2</v>
      </c>
      <c r="I69" s="13" t="s">
        <v>423</v>
      </c>
      <c r="J69" s="21">
        <v>550</v>
      </c>
      <c r="K69" s="13">
        <f t="shared" si="5"/>
        <v>1100</v>
      </c>
      <c r="L69" s="13">
        <v>0</v>
      </c>
      <c r="M69" s="21">
        <v>14</v>
      </c>
      <c r="N69" s="21">
        <v>1</v>
      </c>
      <c r="O69" s="13">
        <f t="shared" si="6"/>
        <v>1</v>
      </c>
      <c r="P69" s="13" t="str">
        <f t="shared" si="7"/>
        <v>OK</v>
      </c>
      <c r="Q69" s="13">
        <f t="shared" si="8"/>
        <v>0</v>
      </c>
      <c r="R69" s="21" t="s">
        <v>456</v>
      </c>
      <c r="S69" s="24">
        <v>46034</v>
      </c>
    </row>
    <row r="70" spans="3:19" ht="15.75" x14ac:dyDescent="0.25">
      <c r="C70" s="47">
        <v>69</v>
      </c>
      <c r="D70" t="s">
        <v>75</v>
      </c>
      <c r="E70" t="s">
        <v>141</v>
      </c>
      <c r="F70" t="s">
        <v>156</v>
      </c>
      <c r="G70" s="8" t="s">
        <v>397</v>
      </c>
      <c r="H70" s="20">
        <v>10</v>
      </c>
      <c r="I70" s="13" t="s">
        <v>423</v>
      </c>
      <c r="J70" s="21">
        <v>115</v>
      </c>
      <c r="K70" s="13">
        <f t="shared" si="5"/>
        <v>1150</v>
      </c>
      <c r="L70" s="13">
        <v>0</v>
      </c>
      <c r="M70" s="21">
        <v>5</v>
      </c>
      <c r="N70" s="21">
        <v>4</v>
      </c>
      <c r="O70" s="13">
        <f t="shared" si="6"/>
        <v>4</v>
      </c>
      <c r="P70" s="13" t="str">
        <f t="shared" si="7"/>
        <v>OK</v>
      </c>
      <c r="Q70" s="13">
        <f t="shared" si="8"/>
        <v>0</v>
      </c>
      <c r="R70" s="21" t="s">
        <v>458</v>
      </c>
      <c r="S70" s="24">
        <v>46034</v>
      </c>
    </row>
    <row r="71" spans="3:19" ht="15.75" x14ac:dyDescent="0.25">
      <c r="C71" s="47">
        <v>70</v>
      </c>
      <c r="D71" t="s">
        <v>76</v>
      </c>
      <c r="E71" t="s">
        <v>141</v>
      </c>
      <c r="F71" t="s">
        <v>156</v>
      </c>
      <c r="G71" s="8" t="s">
        <v>398</v>
      </c>
      <c r="H71" s="20">
        <v>2</v>
      </c>
      <c r="I71" s="13" t="s">
        <v>423</v>
      </c>
      <c r="J71" s="21">
        <v>0</v>
      </c>
      <c r="K71" s="13">
        <f t="shared" si="5"/>
        <v>0</v>
      </c>
      <c r="L71" s="13">
        <v>0</v>
      </c>
      <c r="M71" s="21">
        <v>0</v>
      </c>
      <c r="N71" s="21">
        <v>1</v>
      </c>
      <c r="O71" s="13">
        <f t="shared" si="6"/>
        <v>1</v>
      </c>
      <c r="P71" s="13" t="str">
        <f t="shared" si="7"/>
        <v>OK</v>
      </c>
      <c r="Q71" s="13">
        <f t="shared" si="8"/>
        <v>0</v>
      </c>
      <c r="R71" s="21" t="s">
        <v>456</v>
      </c>
      <c r="S71" s="24">
        <v>46034</v>
      </c>
    </row>
    <row r="72" spans="3:19" ht="15.75" x14ac:dyDescent="0.25">
      <c r="C72" s="47">
        <v>71</v>
      </c>
      <c r="D72" t="s">
        <v>77</v>
      </c>
      <c r="E72" t="s">
        <v>141</v>
      </c>
      <c r="F72" t="s">
        <v>156</v>
      </c>
      <c r="G72" s="8" t="s">
        <v>399</v>
      </c>
      <c r="H72" s="20">
        <v>2</v>
      </c>
      <c r="I72" s="13" t="s">
        <v>423</v>
      </c>
      <c r="J72" s="21">
        <v>850</v>
      </c>
      <c r="K72" s="13">
        <f t="shared" si="5"/>
        <v>1700</v>
      </c>
      <c r="L72" s="13">
        <v>0</v>
      </c>
      <c r="M72" s="21">
        <v>21</v>
      </c>
      <c r="N72" s="21">
        <v>1</v>
      </c>
      <c r="O72" s="13">
        <f t="shared" si="6"/>
        <v>1</v>
      </c>
      <c r="P72" s="13" t="str">
        <f t="shared" si="7"/>
        <v>OK</v>
      </c>
      <c r="Q72" s="13">
        <f t="shared" si="8"/>
        <v>0</v>
      </c>
      <c r="R72" s="21" t="s">
        <v>456</v>
      </c>
      <c r="S72" s="24">
        <v>46034</v>
      </c>
    </row>
    <row r="73" spans="3:19" ht="15.75" x14ac:dyDescent="0.25">
      <c r="C73" s="47">
        <v>72</v>
      </c>
      <c r="D73" t="s">
        <v>78</v>
      </c>
      <c r="E73" t="s">
        <v>141</v>
      </c>
      <c r="F73" t="s">
        <v>156</v>
      </c>
      <c r="G73" s="8" t="s">
        <v>400</v>
      </c>
      <c r="H73" s="20">
        <v>4</v>
      </c>
      <c r="I73" s="13" t="s">
        <v>423</v>
      </c>
      <c r="J73" s="21">
        <v>450</v>
      </c>
      <c r="K73" s="13">
        <f t="shared" si="5"/>
        <v>1800</v>
      </c>
      <c r="L73" s="13">
        <v>0</v>
      </c>
      <c r="M73" s="21">
        <v>30</v>
      </c>
      <c r="N73" s="21">
        <v>1</v>
      </c>
      <c r="O73" s="13">
        <f t="shared" si="6"/>
        <v>1</v>
      </c>
      <c r="P73" s="13" t="str">
        <f t="shared" si="7"/>
        <v>OK</v>
      </c>
      <c r="Q73" s="13">
        <f t="shared" si="8"/>
        <v>0</v>
      </c>
      <c r="R73" s="21" t="s">
        <v>456</v>
      </c>
      <c r="S73" s="24">
        <v>46034</v>
      </c>
    </row>
    <row r="74" spans="3:19" ht="15.75" x14ac:dyDescent="0.25">
      <c r="C74" s="47">
        <v>73</v>
      </c>
      <c r="D74" t="s">
        <v>79</v>
      </c>
      <c r="E74" t="s">
        <v>141</v>
      </c>
      <c r="F74" t="s">
        <v>156</v>
      </c>
      <c r="G74" s="8" t="s">
        <v>401</v>
      </c>
      <c r="H74" s="20">
        <v>8</v>
      </c>
      <c r="I74" s="13" t="s">
        <v>423</v>
      </c>
      <c r="J74" s="21">
        <v>185</v>
      </c>
      <c r="K74" s="13">
        <f t="shared" si="5"/>
        <v>1480</v>
      </c>
      <c r="L74" s="13">
        <v>0</v>
      </c>
      <c r="M74" s="21">
        <v>7</v>
      </c>
      <c r="N74" s="21">
        <v>4</v>
      </c>
      <c r="O74" s="13">
        <f t="shared" si="6"/>
        <v>4</v>
      </c>
      <c r="P74" s="13" t="str">
        <f t="shared" si="7"/>
        <v>OK</v>
      </c>
      <c r="Q74" s="13">
        <f t="shared" si="8"/>
        <v>0</v>
      </c>
      <c r="R74" s="21" t="s">
        <v>458</v>
      </c>
      <c r="S74" s="24">
        <v>46034</v>
      </c>
    </row>
    <row r="75" spans="3:19" ht="15.75" x14ac:dyDescent="0.25">
      <c r="C75" s="47">
        <v>74</v>
      </c>
      <c r="D75" t="s">
        <v>80</v>
      </c>
      <c r="E75" t="s">
        <v>141</v>
      </c>
      <c r="F75" t="s">
        <v>156</v>
      </c>
      <c r="G75" s="8" t="s">
        <v>163</v>
      </c>
      <c r="H75" s="20">
        <v>6</v>
      </c>
      <c r="I75" s="13" t="s">
        <v>423</v>
      </c>
      <c r="J75" s="21">
        <v>65</v>
      </c>
      <c r="K75" s="13">
        <f t="shared" si="5"/>
        <v>390</v>
      </c>
      <c r="L75" s="13">
        <v>0</v>
      </c>
      <c r="M75" s="21">
        <v>7</v>
      </c>
      <c r="N75" s="21">
        <v>1</v>
      </c>
      <c r="O75" s="13">
        <f t="shared" si="6"/>
        <v>1</v>
      </c>
      <c r="P75" s="13" t="str">
        <f t="shared" si="7"/>
        <v>OK</v>
      </c>
      <c r="Q75" s="13">
        <f t="shared" si="8"/>
        <v>0</v>
      </c>
      <c r="R75" s="21" t="s">
        <v>458</v>
      </c>
      <c r="S75" s="24">
        <v>46034</v>
      </c>
    </row>
    <row r="76" spans="3:19" ht="15.75" x14ac:dyDescent="0.25">
      <c r="C76" s="47">
        <v>75</v>
      </c>
      <c r="D76" t="s">
        <v>81</v>
      </c>
      <c r="E76" t="s">
        <v>141</v>
      </c>
      <c r="F76" t="s">
        <v>156</v>
      </c>
      <c r="G76" s="8" t="s">
        <v>163</v>
      </c>
      <c r="H76" s="20">
        <v>20</v>
      </c>
      <c r="I76" s="13" t="s">
        <v>427</v>
      </c>
      <c r="J76" s="21">
        <v>14</v>
      </c>
      <c r="K76" s="13">
        <f t="shared" si="5"/>
        <v>280</v>
      </c>
      <c r="L76" s="13">
        <v>0</v>
      </c>
      <c r="M76" s="21">
        <v>3</v>
      </c>
      <c r="N76" s="21">
        <v>2</v>
      </c>
      <c r="O76" s="13">
        <f t="shared" si="6"/>
        <v>2</v>
      </c>
      <c r="P76" s="13" t="str">
        <f t="shared" si="7"/>
        <v>OK</v>
      </c>
      <c r="Q76" s="13">
        <f t="shared" si="8"/>
        <v>0</v>
      </c>
      <c r="R76" s="21" t="s">
        <v>458</v>
      </c>
      <c r="S76" s="24">
        <v>46034</v>
      </c>
    </row>
    <row r="77" spans="3:19" ht="15.75" x14ac:dyDescent="0.25">
      <c r="C77" s="47">
        <v>76</v>
      </c>
      <c r="D77" t="s">
        <v>82</v>
      </c>
      <c r="E77" t="s">
        <v>141</v>
      </c>
      <c r="F77" t="s">
        <v>156</v>
      </c>
      <c r="G77" s="8" t="s">
        <v>163</v>
      </c>
      <c r="H77" s="20">
        <v>2</v>
      </c>
      <c r="I77" s="13" t="s">
        <v>423</v>
      </c>
      <c r="J77" s="21">
        <v>75</v>
      </c>
      <c r="K77" s="13">
        <f t="shared" si="5"/>
        <v>150</v>
      </c>
      <c r="L77" s="13">
        <v>0</v>
      </c>
      <c r="M77" s="21">
        <v>5</v>
      </c>
      <c r="N77" s="21">
        <v>1</v>
      </c>
      <c r="O77" s="13">
        <f t="shared" si="6"/>
        <v>1</v>
      </c>
      <c r="P77" s="13" t="str">
        <f t="shared" si="7"/>
        <v>OK</v>
      </c>
      <c r="Q77" s="13">
        <f t="shared" si="8"/>
        <v>0</v>
      </c>
      <c r="R77" s="21" t="s">
        <v>458</v>
      </c>
      <c r="S77" s="24">
        <v>46034</v>
      </c>
    </row>
    <row r="78" spans="3:19" ht="15.75" x14ac:dyDescent="0.25">
      <c r="C78" s="47">
        <v>77</v>
      </c>
      <c r="D78" t="s">
        <v>83</v>
      </c>
      <c r="E78" t="s">
        <v>141</v>
      </c>
      <c r="F78" t="s">
        <v>156</v>
      </c>
      <c r="G78" s="8" t="s">
        <v>163</v>
      </c>
      <c r="H78" s="20">
        <v>4</v>
      </c>
      <c r="I78" s="13" t="s">
        <v>423</v>
      </c>
      <c r="J78" s="21">
        <v>25</v>
      </c>
      <c r="K78" s="13">
        <f t="shared" si="5"/>
        <v>100</v>
      </c>
      <c r="L78" s="13">
        <v>0</v>
      </c>
      <c r="M78" s="21">
        <v>3</v>
      </c>
      <c r="N78" s="21">
        <v>1</v>
      </c>
      <c r="O78" s="13">
        <f t="shared" si="6"/>
        <v>1</v>
      </c>
      <c r="P78" s="13" t="str">
        <f t="shared" si="7"/>
        <v>OK</v>
      </c>
      <c r="Q78" s="13">
        <f t="shared" si="8"/>
        <v>0</v>
      </c>
      <c r="R78" s="21" t="s">
        <v>458</v>
      </c>
      <c r="S78" s="24">
        <v>46034</v>
      </c>
    </row>
    <row r="79" spans="3:19" ht="15.75" x14ac:dyDescent="0.25">
      <c r="C79" s="47">
        <v>78</v>
      </c>
      <c r="D79" t="s">
        <v>84</v>
      </c>
      <c r="E79" t="s">
        <v>141</v>
      </c>
      <c r="F79" t="s">
        <v>160</v>
      </c>
      <c r="G79" s="8" t="s">
        <v>402</v>
      </c>
      <c r="H79" s="20">
        <v>1</v>
      </c>
      <c r="I79" s="13" t="s">
        <v>423</v>
      </c>
      <c r="J79" s="21">
        <v>650</v>
      </c>
      <c r="K79" s="13">
        <f t="shared" si="5"/>
        <v>650</v>
      </c>
      <c r="L79" s="13">
        <v>1</v>
      </c>
      <c r="M79" s="21">
        <v>30</v>
      </c>
      <c r="N79" s="21">
        <v>1</v>
      </c>
      <c r="O79" s="13">
        <f t="shared" si="6"/>
        <v>2</v>
      </c>
      <c r="P79" s="13" t="str">
        <f t="shared" si="7"/>
        <v>REORDER</v>
      </c>
      <c r="Q79" s="13">
        <f t="shared" si="8"/>
        <v>1</v>
      </c>
      <c r="R79" s="21" t="s">
        <v>456</v>
      </c>
      <c r="S79" s="24">
        <v>46034</v>
      </c>
    </row>
    <row r="80" spans="3:19" ht="15.75" x14ac:dyDescent="0.25">
      <c r="C80" s="47">
        <v>79</v>
      </c>
      <c r="D80" t="s">
        <v>85</v>
      </c>
      <c r="E80" t="s">
        <v>141</v>
      </c>
      <c r="F80" t="s">
        <v>156</v>
      </c>
      <c r="G80" s="8" t="s">
        <v>393</v>
      </c>
      <c r="H80" s="20">
        <v>20</v>
      </c>
      <c r="I80" s="13" t="s">
        <v>422</v>
      </c>
      <c r="J80" s="21">
        <v>6.5</v>
      </c>
      <c r="K80" s="13">
        <f t="shared" si="5"/>
        <v>130</v>
      </c>
      <c r="L80" s="13">
        <v>0</v>
      </c>
      <c r="M80" s="21">
        <v>2</v>
      </c>
      <c r="N80" s="21">
        <v>1</v>
      </c>
      <c r="O80" s="13">
        <f t="shared" si="6"/>
        <v>1</v>
      </c>
      <c r="P80" s="13" t="str">
        <f t="shared" si="7"/>
        <v>OK</v>
      </c>
      <c r="Q80" s="13">
        <f t="shared" si="8"/>
        <v>0</v>
      </c>
      <c r="R80" s="21" t="s">
        <v>457</v>
      </c>
      <c r="S80" s="24">
        <v>46034</v>
      </c>
    </row>
    <row r="81" spans="3:19" ht="15.75" x14ac:dyDescent="0.25">
      <c r="C81" s="47">
        <v>80</v>
      </c>
      <c r="D81" t="s">
        <v>86</v>
      </c>
      <c r="E81" t="s">
        <v>141</v>
      </c>
      <c r="F81" t="s">
        <v>159</v>
      </c>
      <c r="G81" s="8" t="s">
        <v>393</v>
      </c>
      <c r="H81" s="20">
        <v>6</v>
      </c>
      <c r="I81" s="13" t="s">
        <v>423</v>
      </c>
      <c r="J81" s="21">
        <v>15</v>
      </c>
      <c r="K81" s="13">
        <f t="shared" si="5"/>
        <v>90</v>
      </c>
      <c r="L81" s="13">
        <v>2</v>
      </c>
      <c r="M81" s="21">
        <v>2</v>
      </c>
      <c r="N81" s="21">
        <v>3</v>
      </c>
      <c r="O81" s="13">
        <f t="shared" si="6"/>
        <v>4</v>
      </c>
      <c r="P81" s="13" t="str">
        <f t="shared" si="7"/>
        <v>OK</v>
      </c>
      <c r="Q81" s="13">
        <f t="shared" si="8"/>
        <v>0</v>
      </c>
      <c r="R81" s="21" t="s">
        <v>457</v>
      </c>
      <c r="S81" s="24">
        <v>46034</v>
      </c>
    </row>
    <row r="82" spans="3:19" ht="15.75" x14ac:dyDescent="0.25">
      <c r="C82" s="47">
        <v>81</v>
      </c>
      <c r="D82" t="s">
        <v>87</v>
      </c>
      <c r="E82" t="s">
        <v>141</v>
      </c>
      <c r="F82" t="s">
        <v>159</v>
      </c>
      <c r="G82" s="8" t="s">
        <v>403</v>
      </c>
      <c r="H82" s="20">
        <v>4</v>
      </c>
      <c r="I82" s="13" t="s">
        <v>423</v>
      </c>
      <c r="J82" s="21">
        <v>45</v>
      </c>
      <c r="K82" s="13">
        <f t="shared" si="5"/>
        <v>180</v>
      </c>
      <c r="L82" s="13">
        <v>1</v>
      </c>
      <c r="M82" s="21">
        <v>7</v>
      </c>
      <c r="N82" s="21">
        <v>2</v>
      </c>
      <c r="O82" s="13">
        <f t="shared" si="6"/>
        <v>3</v>
      </c>
      <c r="P82" s="13" t="str">
        <f t="shared" si="7"/>
        <v>OK</v>
      </c>
      <c r="Q82" s="13">
        <f t="shared" si="8"/>
        <v>0</v>
      </c>
      <c r="R82" s="21" t="s">
        <v>458</v>
      </c>
      <c r="S82" s="24">
        <v>46034</v>
      </c>
    </row>
    <row r="83" spans="3:19" ht="15.75" x14ac:dyDescent="0.25">
      <c r="C83" s="47">
        <v>82</v>
      </c>
      <c r="D83" t="s">
        <v>88</v>
      </c>
      <c r="E83" t="s">
        <v>141</v>
      </c>
      <c r="F83" t="s">
        <v>155</v>
      </c>
      <c r="G83" s="8" t="s">
        <v>382</v>
      </c>
      <c r="H83" s="20">
        <v>2</v>
      </c>
      <c r="I83" s="13" t="s">
        <v>423</v>
      </c>
      <c r="J83" s="21">
        <v>0</v>
      </c>
      <c r="K83" s="13">
        <f t="shared" si="5"/>
        <v>0</v>
      </c>
      <c r="L83" s="13">
        <v>0</v>
      </c>
      <c r="M83" s="21">
        <v>0</v>
      </c>
      <c r="N83" s="21">
        <v>1</v>
      </c>
      <c r="O83" s="13">
        <f t="shared" si="6"/>
        <v>1</v>
      </c>
      <c r="P83" s="13" t="str">
        <f t="shared" si="7"/>
        <v>OK</v>
      </c>
      <c r="Q83" s="13">
        <f t="shared" si="8"/>
        <v>0</v>
      </c>
      <c r="R83" s="21" t="s">
        <v>458</v>
      </c>
      <c r="S83" s="24">
        <v>46034</v>
      </c>
    </row>
    <row r="84" spans="3:19" ht="15.75" x14ac:dyDescent="0.25">
      <c r="C84" s="47">
        <v>83</v>
      </c>
      <c r="D84" t="s">
        <v>89</v>
      </c>
      <c r="E84" t="s">
        <v>141</v>
      </c>
      <c r="F84" t="s">
        <v>156</v>
      </c>
      <c r="G84" s="8" t="s">
        <v>371</v>
      </c>
      <c r="H84" s="20">
        <v>3</v>
      </c>
      <c r="I84" s="13" t="s">
        <v>423</v>
      </c>
      <c r="J84" s="21">
        <v>145</v>
      </c>
      <c r="K84" s="13">
        <f t="shared" si="5"/>
        <v>435</v>
      </c>
      <c r="L84" s="13">
        <v>0</v>
      </c>
      <c r="M84" s="21">
        <v>7</v>
      </c>
      <c r="N84" s="21">
        <v>1</v>
      </c>
      <c r="O84" s="13">
        <f t="shared" si="6"/>
        <v>1</v>
      </c>
      <c r="P84" s="13" t="str">
        <f t="shared" si="7"/>
        <v>OK</v>
      </c>
      <c r="Q84" s="13">
        <f t="shared" si="8"/>
        <v>0</v>
      </c>
      <c r="R84" s="21" t="s">
        <v>458</v>
      </c>
      <c r="S84" s="24">
        <v>46034</v>
      </c>
    </row>
    <row r="85" spans="3:19" ht="15.75" x14ac:dyDescent="0.25">
      <c r="C85" s="47">
        <v>84</v>
      </c>
      <c r="D85" t="s">
        <v>90</v>
      </c>
      <c r="E85" t="s">
        <v>141</v>
      </c>
      <c r="F85" t="s">
        <v>156</v>
      </c>
      <c r="G85" s="8" t="s">
        <v>372</v>
      </c>
      <c r="H85" s="20">
        <v>1</v>
      </c>
      <c r="I85" s="13" t="s">
        <v>423</v>
      </c>
      <c r="J85" s="21">
        <v>350</v>
      </c>
      <c r="K85" s="13">
        <f t="shared" si="5"/>
        <v>350</v>
      </c>
      <c r="L85" s="13">
        <v>0</v>
      </c>
      <c r="M85" s="21">
        <v>14</v>
      </c>
      <c r="N85" s="21">
        <v>1</v>
      </c>
      <c r="O85" s="13">
        <f t="shared" si="6"/>
        <v>1</v>
      </c>
      <c r="P85" s="13" t="str">
        <f t="shared" si="7"/>
        <v>REORDER</v>
      </c>
      <c r="Q85" s="13">
        <f t="shared" si="8"/>
        <v>0</v>
      </c>
      <c r="R85" s="21" t="s">
        <v>458</v>
      </c>
      <c r="S85" s="24">
        <v>46034</v>
      </c>
    </row>
    <row r="86" spans="3:19" ht="15.75" x14ac:dyDescent="0.25">
      <c r="C86" s="47">
        <v>85</v>
      </c>
      <c r="D86" t="s">
        <v>91</v>
      </c>
      <c r="E86" t="s">
        <v>141</v>
      </c>
      <c r="F86" t="s">
        <v>156</v>
      </c>
      <c r="G86" s="8" t="s">
        <v>404</v>
      </c>
      <c r="H86" s="20">
        <v>2</v>
      </c>
      <c r="I86" s="13" t="s">
        <v>423</v>
      </c>
      <c r="J86" s="21">
        <v>125</v>
      </c>
      <c r="K86" s="13">
        <f t="shared" si="5"/>
        <v>250</v>
      </c>
      <c r="L86" s="13">
        <v>0</v>
      </c>
      <c r="M86" s="21">
        <v>5</v>
      </c>
      <c r="N86" s="21">
        <v>1</v>
      </c>
      <c r="O86" s="13">
        <f t="shared" si="6"/>
        <v>1</v>
      </c>
      <c r="P86" s="13" t="str">
        <f t="shared" si="7"/>
        <v>OK</v>
      </c>
      <c r="Q86" s="13">
        <f t="shared" si="8"/>
        <v>0</v>
      </c>
      <c r="R86" s="21" t="s">
        <v>458</v>
      </c>
      <c r="S86" s="24">
        <v>46034</v>
      </c>
    </row>
    <row r="87" spans="3:19" ht="15.75" x14ac:dyDescent="0.25">
      <c r="C87" s="47">
        <v>86</v>
      </c>
      <c r="D87" s="1" t="s">
        <v>142</v>
      </c>
      <c r="E87" t="s">
        <v>151</v>
      </c>
      <c r="F87" t="s">
        <v>156</v>
      </c>
      <c r="G87" s="8" t="s">
        <v>405</v>
      </c>
      <c r="H87" s="20">
        <v>1</v>
      </c>
      <c r="I87" s="13" t="s">
        <v>423</v>
      </c>
      <c r="J87" s="21">
        <v>450</v>
      </c>
      <c r="K87" s="13">
        <f t="shared" si="5"/>
        <v>450</v>
      </c>
      <c r="L87" s="13">
        <v>0</v>
      </c>
      <c r="M87" s="21">
        <v>10</v>
      </c>
      <c r="N87" s="21">
        <v>1</v>
      </c>
      <c r="O87" s="13">
        <f t="shared" si="6"/>
        <v>1</v>
      </c>
      <c r="P87" s="13" t="str">
        <f t="shared" si="7"/>
        <v>REORDER</v>
      </c>
      <c r="Q87" s="13">
        <f t="shared" si="8"/>
        <v>0</v>
      </c>
      <c r="R87" s="21" t="s">
        <v>456</v>
      </c>
      <c r="S87" s="24">
        <v>46034</v>
      </c>
    </row>
    <row r="88" spans="3:19" ht="15.75" x14ac:dyDescent="0.25">
      <c r="C88" s="47">
        <v>87</v>
      </c>
      <c r="D88" s="1" t="s">
        <v>143</v>
      </c>
      <c r="E88" t="s">
        <v>151</v>
      </c>
      <c r="F88" t="s">
        <v>161</v>
      </c>
      <c r="G88" s="8" t="s">
        <v>406</v>
      </c>
      <c r="H88" s="20">
        <v>2</v>
      </c>
      <c r="I88" s="13" t="s">
        <v>423</v>
      </c>
      <c r="J88" s="21">
        <v>285</v>
      </c>
      <c r="K88" s="13">
        <f t="shared" si="5"/>
        <v>570</v>
      </c>
      <c r="L88" s="13">
        <v>0</v>
      </c>
      <c r="M88" s="21">
        <v>7</v>
      </c>
      <c r="N88" s="21">
        <v>1</v>
      </c>
      <c r="O88" s="13">
        <f t="shared" si="6"/>
        <v>1</v>
      </c>
      <c r="P88" s="13" t="str">
        <f t="shared" si="7"/>
        <v>OK</v>
      </c>
      <c r="Q88" s="13">
        <f t="shared" si="8"/>
        <v>0</v>
      </c>
      <c r="R88" s="21" t="s">
        <v>456</v>
      </c>
      <c r="S88" s="24">
        <v>46034</v>
      </c>
    </row>
    <row r="89" spans="3:19" ht="15.75" x14ac:dyDescent="0.25">
      <c r="C89" s="47">
        <v>88</v>
      </c>
      <c r="D89" s="1" t="s">
        <v>144</v>
      </c>
      <c r="E89" t="s">
        <v>151</v>
      </c>
      <c r="F89" t="s">
        <v>161</v>
      </c>
      <c r="G89" s="8" t="s">
        <v>407</v>
      </c>
      <c r="H89" s="20">
        <v>4</v>
      </c>
      <c r="I89" s="13" t="s">
        <v>426</v>
      </c>
      <c r="J89" s="21">
        <v>120</v>
      </c>
      <c r="K89" s="13">
        <f t="shared" si="5"/>
        <v>480</v>
      </c>
      <c r="L89" s="13">
        <v>0</v>
      </c>
      <c r="M89" s="21">
        <v>4</v>
      </c>
      <c r="N89" s="21">
        <v>1</v>
      </c>
      <c r="O89" s="13">
        <f t="shared" si="6"/>
        <v>1</v>
      </c>
      <c r="P89" s="13" t="str">
        <f t="shared" si="7"/>
        <v>OK</v>
      </c>
      <c r="Q89" s="13">
        <f t="shared" si="8"/>
        <v>0</v>
      </c>
      <c r="R89" s="21" t="s">
        <v>458</v>
      </c>
      <c r="S89" s="24">
        <v>46034</v>
      </c>
    </row>
    <row r="90" spans="3:19" ht="15.75" x14ac:dyDescent="0.25">
      <c r="C90" s="47">
        <v>89</v>
      </c>
      <c r="D90" s="1" t="s">
        <v>145</v>
      </c>
      <c r="E90" t="s">
        <v>151</v>
      </c>
      <c r="F90" t="s">
        <v>161</v>
      </c>
      <c r="G90" s="8" t="s">
        <v>381</v>
      </c>
      <c r="H90" s="20">
        <v>2</v>
      </c>
      <c r="I90" s="13" t="s">
        <v>423</v>
      </c>
      <c r="J90" s="21">
        <v>115</v>
      </c>
      <c r="K90" s="13">
        <f t="shared" si="5"/>
        <v>230</v>
      </c>
      <c r="L90" s="13">
        <v>0</v>
      </c>
      <c r="M90" s="21">
        <v>5</v>
      </c>
      <c r="N90" s="21">
        <v>1</v>
      </c>
      <c r="O90" s="13">
        <f t="shared" si="6"/>
        <v>1</v>
      </c>
      <c r="P90" s="13" t="str">
        <f t="shared" si="7"/>
        <v>OK</v>
      </c>
      <c r="Q90" s="13">
        <f t="shared" si="8"/>
        <v>0</v>
      </c>
      <c r="R90" s="21" t="s">
        <v>458</v>
      </c>
      <c r="S90" s="24">
        <v>46034</v>
      </c>
    </row>
    <row r="91" spans="3:19" ht="15.75" x14ac:dyDescent="0.25">
      <c r="C91" s="47">
        <v>90</v>
      </c>
      <c r="D91" s="1" t="s">
        <v>146</v>
      </c>
      <c r="E91" t="s">
        <v>151</v>
      </c>
      <c r="F91" t="s">
        <v>161</v>
      </c>
      <c r="G91" s="8" t="s">
        <v>408</v>
      </c>
      <c r="H91" s="20">
        <v>1</v>
      </c>
      <c r="I91" s="13" t="s">
        <v>423</v>
      </c>
      <c r="J91" s="21">
        <v>450</v>
      </c>
      <c r="K91" s="13">
        <f t="shared" si="5"/>
        <v>450</v>
      </c>
      <c r="L91" s="13">
        <v>0</v>
      </c>
      <c r="M91" s="21">
        <v>10</v>
      </c>
      <c r="N91" s="21">
        <v>1</v>
      </c>
      <c r="O91" s="13">
        <f t="shared" si="6"/>
        <v>1</v>
      </c>
      <c r="P91" s="13" t="str">
        <f t="shared" si="7"/>
        <v>REORDER</v>
      </c>
      <c r="Q91" s="13">
        <f t="shared" si="8"/>
        <v>0</v>
      </c>
      <c r="R91" s="21" t="s">
        <v>456</v>
      </c>
      <c r="S91" s="24">
        <v>46034</v>
      </c>
    </row>
    <row r="92" spans="3:19" ht="15.75" x14ac:dyDescent="0.25">
      <c r="C92" s="47">
        <v>91</v>
      </c>
      <c r="D92" s="1" t="s">
        <v>147</v>
      </c>
      <c r="E92" t="s">
        <v>151</v>
      </c>
      <c r="F92" t="s">
        <v>160</v>
      </c>
      <c r="G92" s="8" t="s">
        <v>409</v>
      </c>
      <c r="H92" s="20">
        <v>2</v>
      </c>
      <c r="I92" s="13" t="s">
        <v>423</v>
      </c>
      <c r="J92" s="21">
        <v>85</v>
      </c>
      <c r="K92" s="13">
        <f t="shared" si="5"/>
        <v>170</v>
      </c>
      <c r="L92" s="13">
        <v>0</v>
      </c>
      <c r="M92" s="21">
        <v>3</v>
      </c>
      <c r="N92" s="21">
        <v>1</v>
      </c>
      <c r="O92" s="13">
        <f t="shared" si="6"/>
        <v>1</v>
      </c>
      <c r="P92" s="13" t="str">
        <f t="shared" si="7"/>
        <v>OK</v>
      </c>
      <c r="Q92" s="13">
        <f t="shared" si="8"/>
        <v>0</v>
      </c>
      <c r="R92" s="21" t="s">
        <v>456</v>
      </c>
      <c r="S92" s="24">
        <v>46034</v>
      </c>
    </row>
    <row r="93" spans="3:19" ht="15.75" x14ac:dyDescent="0.25">
      <c r="C93" s="47">
        <v>92</v>
      </c>
      <c r="D93" s="1" t="s">
        <v>126</v>
      </c>
      <c r="E93" t="s">
        <v>151</v>
      </c>
      <c r="F93" t="s">
        <v>161</v>
      </c>
      <c r="G93" s="8" t="s">
        <v>163</v>
      </c>
      <c r="H93" s="20">
        <v>10</v>
      </c>
      <c r="I93" s="13" t="s">
        <v>423</v>
      </c>
      <c r="J93" s="21">
        <v>35</v>
      </c>
      <c r="K93" s="13">
        <f t="shared" si="5"/>
        <v>350</v>
      </c>
      <c r="L93" s="13">
        <v>0</v>
      </c>
      <c r="M93" s="21">
        <v>3</v>
      </c>
      <c r="N93" s="21">
        <v>1</v>
      </c>
      <c r="O93" s="13">
        <f t="shared" si="6"/>
        <v>1</v>
      </c>
      <c r="P93" s="13" t="str">
        <f t="shared" si="7"/>
        <v>OK</v>
      </c>
      <c r="Q93" s="13">
        <f t="shared" si="8"/>
        <v>0</v>
      </c>
      <c r="R93" s="21" t="s">
        <v>457</v>
      </c>
      <c r="S93" s="24">
        <v>46034</v>
      </c>
    </row>
    <row r="94" spans="3:19" ht="15.75" x14ac:dyDescent="0.25">
      <c r="C94" s="47">
        <v>93</v>
      </c>
      <c r="D94" s="1" t="s">
        <v>148</v>
      </c>
      <c r="E94" t="s">
        <v>151</v>
      </c>
      <c r="F94" t="s">
        <v>155</v>
      </c>
      <c r="G94" s="8" t="s">
        <v>410</v>
      </c>
      <c r="H94" s="20">
        <v>1</v>
      </c>
      <c r="I94" s="13" t="s">
        <v>423</v>
      </c>
      <c r="J94" s="21">
        <v>165</v>
      </c>
      <c r="K94" s="13">
        <f t="shared" si="5"/>
        <v>165</v>
      </c>
      <c r="L94" s="13">
        <v>0</v>
      </c>
      <c r="M94" s="21">
        <v>5</v>
      </c>
      <c r="N94" s="21">
        <v>1</v>
      </c>
      <c r="O94" s="13">
        <f t="shared" si="6"/>
        <v>1</v>
      </c>
      <c r="P94" s="13" t="str">
        <f t="shared" si="7"/>
        <v>REORDER</v>
      </c>
      <c r="Q94" s="13">
        <f t="shared" si="8"/>
        <v>0</v>
      </c>
      <c r="R94" s="21" t="s">
        <v>458</v>
      </c>
      <c r="S94" s="24">
        <v>46034</v>
      </c>
    </row>
    <row r="95" spans="3:19" ht="15.75" x14ac:dyDescent="0.25">
      <c r="C95" s="47">
        <v>94</v>
      </c>
      <c r="D95" s="1" t="s">
        <v>149</v>
      </c>
      <c r="E95" t="s">
        <v>151</v>
      </c>
      <c r="F95" t="s">
        <v>155</v>
      </c>
      <c r="G95" s="8" t="s">
        <v>406</v>
      </c>
      <c r="H95" s="20">
        <v>2</v>
      </c>
      <c r="I95" s="13" t="s">
        <v>423</v>
      </c>
      <c r="J95" s="21">
        <v>95</v>
      </c>
      <c r="K95" s="13">
        <f t="shared" si="5"/>
        <v>190</v>
      </c>
      <c r="L95" s="13">
        <v>0</v>
      </c>
      <c r="M95" s="21">
        <v>5</v>
      </c>
      <c r="N95" s="21">
        <v>1</v>
      </c>
      <c r="O95" s="13">
        <f t="shared" si="6"/>
        <v>1</v>
      </c>
      <c r="P95" s="13" t="str">
        <f t="shared" si="7"/>
        <v>OK</v>
      </c>
      <c r="Q95" s="13">
        <f t="shared" si="8"/>
        <v>0</v>
      </c>
      <c r="R95" s="21" t="s">
        <v>458</v>
      </c>
      <c r="S95" s="24">
        <v>46034</v>
      </c>
    </row>
    <row r="96" spans="3:19" ht="15.75" x14ac:dyDescent="0.25">
      <c r="C96" s="47">
        <v>95</v>
      </c>
      <c r="D96" s="1" t="s">
        <v>150</v>
      </c>
      <c r="E96" t="s">
        <v>151</v>
      </c>
      <c r="F96" t="s">
        <v>161</v>
      </c>
      <c r="G96" s="8" t="s">
        <v>406</v>
      </c>
      <c r="H96" s="20">
        <v>2</v>
      </c>
      <c r="I96" s="13" t="s">
        <v>424</v>
      </c>
      <c r="J96" s="21">
        <v>55</v>
      </c>
      <c r="K96" s="13">
        <f t="shared" si="5"/>
        <v>110</v>
      </c>
      <c r="L96" s="13">
        <v>0</v>
      </c>
      <c r="M96" s="21">
        <v>5</v>
      </c>
      <c r="N96" s="21">
        <v>1</v>
      </c>
      <c r="O96" s="13">
        <f t="shared" si="6"/>
        <v>1</v>
      </c>
      <c r="P96" s="13" t="str">
        <f t="shared" si="7"/>
        <v>OK</v>
      </c>
      <c r="Q96" s="13">
        <f t="shared" si="8"/>
        <v>0</v>
      </c>
      <c r="R96" s="21" t="s">
        <v>458</v>
      </c>
      <c r="S96" s="24">
        <v>46034</v>
      </c>
    </row>
    <row r="97" spans="3:19" ht="15.75" x14ac:dyDescent="0.25">
      <c r="C97" s="47">
        <v>96</v>
      </c>
      <c r="D97" t="s">
        <v>92</v>
      </c>
      <c r="E97" t="s">
        <v>152</v>
      </c>
      <c r="F97" t="s">
        <v>161</v>
      </c>
      <c r="G97" s="8" t="s">
        <v>411</v>
      </c>
      <c r="H97" s="20">
        <v>4</v>
      </c>
      <c r="I97" s="13" t="s">
        <v>423</v>
      </c>
      <c r="J97" s="21">
        <v>45</v>
      </c>
      <c r="K97" s="13">
        <f t="shared" si="5"/>
        <v>180</v>
      </c>
      <c r="L97" s="13">
        <v>0</v>
      </c>
      <c r="M97" s="21">
        <v>4</v>
      </c>
      <c r="N97" s="21">
        <v>1</v>
      </c>
      <c r="O97" s="13">
        <f t="shared" si="6"/>
        <v>1</v>
      </c>
      <c r="P97" s="13" t="str">
        <f t="shared" si="7"/>
        <v>OK</v>
      </c>
      <c r="Q97" s="13">
        <f t="shared" si="8"/>
        <v>0</v>
      </c>
      <c r="R97" s="21" t="s">
        <v>458</v>
      </c>
      <c r="S97" s="24">
        <v>46034</v>
      </c>
    </row>
    <row r="98" spans="3:19" ht="15.75" x14ac:dyDescent="0.25">
      <c r="C98" s="47">
        <v>97</v>
      </c>
      <c r="D98" t="s">
        <v>93</v>
      </c>
      <c r="E98" t="s">
        <v>152</v>
      </c>
      <c r="F98" t="s">
        <v>160</v>
      </c>
      <c r="G98" s="8" t="s">
        <v>412</v>
      </c>
      <c r="H98" s="20">
        <v>2</v>
      </c>
      <c r="I98" s="13" t="s">
        <v>423</v>
      </c>
      <c r="J98" s="21">
        <v>95</v>
      </c>
      <c r="K98" s="13">
        <f t="shared" ref="K98:K129" si="9">H98*J98</f>
        <v>190</v>
      </c>
      <c r="L98" s="13">
        <v>0</v>
      </c>
      <c r="M98" s="21">
        <v>4</v>
      </c>
      <c r="N98" s="21">
        <v>1</v>
      </c>
      <c r="O98" s="13">
        <f t="shared" si="6"/>
        <v>1</v>
      </c>
      <c r="P98" s="13" t="str">
        <f t="shared" si="7"/>
        <v>OK</v>
      </c>
      <c r="Q98" s="13">
        <f t="shared" si="8"/>
        <v>0</v>
      </c>
      <c r="R98" s="21" t="s">
        <v>458</v>
      </c>
      <c r="S98" s="24">
        <v>46034</v>
      </c>
    </row>
    <row r="99" spans="3:19" ht="15.75" x14ac:dyDescent="0.25">
      <c r="C99" s="47">
        <v>98</v>
      </c>
      <c r="D99" t="s">
        <v>94</v>
      </c>
      <c r="E99" t="s">
        <v>152</v>
      </c>
      <c r="F99" t="s">
        <v>160</v>
      </c>
      <c r="G99" s="8" t="s">
        <v>373</v>
      </c>
      <c r="H99" s="20">
        <v>3</v>
      </c>
      <c r="I99" s="13" t="s">
        <v>423</v>
      </c>
      <c r="J99" s="21">
        <v>115</v>
      </c>
      <c r="K99" s="13">
        <f t="shared" si="9"/>
        <v>345</v>
      </c>
      <c r="L99" s="13">
        <v>0</v>
      </c>
      <c r="M99" s="21">
        <v>7</v>
      </c>
      <c r="N99" s="21">
        <v>1</v>
      </c>
      <c r="O99" s="13">
        <f t="shared" si="6"/>
        <v>1</v>
      </c>
      <c r="P99" s="13" t="str">
        <f t="shared" si="7"/>
        <v>OK</v>
      </c>
      <c r="Q99" s="13">
        <f t="shared" si="8"/>
        <v>0</v>
      </c>
      <c r="R99" s="21" t="s">
        <v>458</v>
      </c>
      <c r="S99" s="24">
        <v>46034</v>
      </c>
    </row>
    <row r="100" spans="3:19" ht="15.75" x14ac:dyDescent="0.25">
      <c r="C100" s="47">
        <v>99</v>
      </c>
      <c r="D100" t="s">
        <v>95</v>
      </c>
      <c r="E100" t="s">
        <v>152</v>
      </c>
      <c r="F100" t="s">
        <v>160</v>
      </c>
      <c r="G100" s="8" t="s">
        <v>411</v>
      </c>
      <c r="H100" s="20">
        <v>2</v>
      </c>
      <c r="I100" s="13" t="s">
        <v>423</v>
      </c>
      <c r="J100" s="21">
        <v>85</v>
      </c>
      <c r="K100" s="13">
        <f t="shared" si="9"/>
        <v>170</v>
      </c>
      <c r="L100" s="13">
        <v>0</v>
      </c>
      <c r="M100" s="21">
        <v>7</v>
      </c>
      <c r="N100" s="21">
        <v>1</v>
      </c>
      <c r="O100" s="13">
        <f t="shared" si="6"/>
        <v>1</v>
      </c>
      <c r="P100" s="13" t="str">
        <f t="shared" si="7"/>
        <v>OK</v>
      </c>
      <c r="Q100" s="13">
        <f t="shared" si="8"/>
        <v>0</v>
      </c>
      <c r="R100" s="21" t="s">
        <v>458</v>
      </c>
      <c r="S100" s="24">
        <v>46034</v>
      </c>
    </row>
    <row r="101" spans="3:19" ht="15.75" x14ac:dyDescent="0.25">
      <c r="C101" s="47">
        <v>100</v>
      </c>
      <c r="D101" t="s">
        <v>96</v>
      </c>
      <c r="E101" t="s">
        <v>152</v>
      </c>
      <c r="F101" t="s">
        <v>160</v>
      </c>
      <c r="G101" s="8" t="s">
        <v>413</v>
      </c>
      <c r="H101" s="20">
        <v>3</v>
      </c>
      <c r="I101" s="13" t="s">
        <v>423</v>
      </c>
      <c r="J101" s="21">
        <v>65</v>
      </c>
      <c r="K101" s="13">
        <f t="shared" si="9"/>
        <v>195</v>
      </c>
      <c r="L101" s="13">
        <v>0</v>
      </c>
      <c r="M101" s="21">
        <v>7</v>
      </c>
      <c r="N101" s="21">
        <v>1</v>
      </c>
      <c r="O101" s="13">
        <f t="shared" si="6"/>
        <v>1</v>
      </c>
      <c r="P101" s="13" t="str">
        <f t="shared" si="7"/>
        <v>OK</v>
      </c>
      <c r="Q101" s="13">
        <f t="shared" si="8"/>
        <v>0</v>
      </c>
      <c r="R101" s="21" t="s">
        <v>458</v>
      </c>
      <c r="S101" s="24">
        <v>46034</v>
      </c>
    </row>
    <row r="102" spans="3:19" ht="15.75" x14ac:dyDescent="0.25">
      <c r="C102" s="47">
        <v>101</v>
      </c>
      <c r="D102" t="s">
        <v>97</v>
      </c>
      <c r="E102" t="s">
        <v>152</v>
      </c>
      <c r="F102" t="s">
        <v>160</v>
      </c>
      <c r="G102" s="8" t="s">
        <v>413</v>
      </c>
      <c r="H102" s="20">
        <v>6</v>
      </c>
      <c r="I102" s="13" t="s">
        <v>423</v>
      </c>
      <c r="J102" s="21">
        <v>115</v>
      </c>
      <c r="K102" s="13">
        <f t="shared" si="9"/>
        <v>690</v>
      </c>
      <c r="L102" s="13">
        <v>0</v>
      </c>
      <c r="M102" s="21">
        <v>7</v>
      </c>
      <c r="N102" s="21">
        <v>1</v>
      </c>
      <c r="O102" s="13">
        <f t="shared" si="6"/>
        <v>1</v>
      </c>
      <c r="P102" s="13" t="str">
        <f t="shared" si="7"/>
        <v>OK</v>
      </c>
      <c r="Q102" s="13">
        <f t="shared" si="8"/>
        <v>0</v>
      </c>
      <c r="R102" s="21" t="s">
        <v>458</v>
      </c>
      <c r="S102" s="24">
        <v>46034</v>
      </c>
    </row>
    <row r="103" spans="3:19" ht="15.75" x14ac:dyDescent="0.25">
      <c r="C103" s="47">
        <v>102</v>
      </c>
      <c r="D103" t="s">
        <v>98</v>
      </c>
      <c r="E103" t="s">
        <v>152</v>
      </c>
      <c r="F103" t="s">
        <v>160</v>
      </c>
      <c r="G103" s="8" t="s">
        <v>413</v>
      </c>
      <c r="H103" s="20">
        <v>6</v>
      </c>
      <c r="I103" s="13" t="s">
        <v>423</v>
      </c>
      <c r="J103" s="21">
        <v>45</v>
      </c>
      <c r="K103" s="13">
        <f t="shared" si="9"/>
        <v>270</v>
      </c>
      <c r="L103" s="13">
        <v>2</v>
      </c>
      <c r="M103" s="21">
        <v>7</v>
      </c>
      <c r="N103" s="21">
        <v>1</v>
      </c>
      <c r="O103" s="13">
        <f t="shared" si="6"/>
        <v>2</v>
      </c>
      <c r="P103" s="13" t="str">
        <f t="shared" si="7"/>
        <v>OK</v>
      </c>
      <c r="Q103" s="13">
        <f t="shared" si="8"/>
        <v>0</v>
      </c>
      <c r="R103" s="21" t="s">
        <v>458</v>
      </c>
      <c r="S103" s="24">
        <v>46034</v>
      </c>
    </row>
    <row r="104" spans="3:19" ht="15.75" x14ac:dyDescent="0.25">
      <c r="C104" s="47">
        <v>103</v>
      </c>
      <c r="D104" t="s">
        <v>99</v>
      </c>
      <c r="E104" t="s">
        <v>152</v>
      </c>
      <c r="F104" t="s">
        <v>160</v>
      </c>
      <c r="G104" s="8" t="s">
        <v>413</v>
      </c>
      <c r="H104" s="20">
        <v>4</v>
      </c>
      <c r="I104" s="13" t="s">
        <v>423</v>
      </c>
      <c r="J104" s="21">
        <v>185</v>
      </c>
      <c r="K104" s="13">
        <f t="shared" si="9"/>
        <v>740</v>
      </c>
      <c r="L104" s="13">
        <v>5</v>
      </c>
      <c r="M104" s="21">
        <v>7</v>
      </c>
      <c r="N104" s="21">
        <v>1</v>
      </c>
      <c r="O104" s="13">
        <f t="shared" si="6"/>
        <v>3</v>
      </c>
      <c r="P104" s="13" t="str">
        <f t="shared" si="7"/>
        <v>OK</v>
      </c>
      <c r="Q104" s="13">
        <f t="shared" si="8"/>
        <v>0</v>
      </c>
      <c r="R104" s="21" t="s">
        <v>458</v>
      </c>
      <c r="S104" s="24">
        <v>46034</v>
      </c>
    </row>
    <row r="105" spans="3:19" ht="15.75" x14ac:dyDescent="0.25">
      <c r="C105" s="47">
        <v>104</v>
      </c>
      <c r="D105" t="s">
        <v>100</v>
      </c>
      <c r="E105" t="s">
        <v>152</v>
      </c>
      <c r="F105" t="s">
        <v>160</v>
      </c>
      <c r="G105" s="8" t="s">
        <v>163</v>
      </c>
      <c r="H105" s="20">
        <v>250</v>
      </c>
      <c r="I105" s="13" t="s">
        <v>422</v>
      </c>
      <c r="J105" s="21">
        <v>1.25</v>
      </c>
      <c r="K105" s="13">
        <f t="shared" si="9"/>
        <v>312.5</v>
      </c>
      <c r="L105" s="13">
        <v>5</v>
      </c>
      <c r="M105" s="21">
        <v>5</v>
      </c>
      <c r="N105" s="21">
        <v>1</v>
      </c>
      <c r="O105" s="13">
        <f t="shared" si="6"/>
        <v>2</v>
      </c>
      <c r="P105" s="13" t="str">
        <f t="shared" si="7"/>
        <v>OK</v>
      </c>
      <c r="Q105" s="13">
        <f t="shared" si="8"/>
        <v>0</v>
      </c>
      <c r="R105" s="21" t="s">
        <v>458</v>
      </c>
      <c r="S105" s="24">
        <v>46034</v>
      </c>
    </row>
    <row r="106" spans="3:19" ht="15.75" x14ac:dyDescent="0.25">
      <c r="C106" s="47">
        <v>105</v>
      </c>
      <c r="D106" t="s">
        <v>101</v>
      </c>
      <c r="E106" t="s">
        <v>152</v>
      </c>
      <c r="F106" t="s">
        <v>160</v>
      </c>
      <c r="G106" s="8" t="s">
        <v>165</v>
      </c>
      <c r="H106" s="20">
        <v>3</v>
      </c>
      <c r="I106" s="13" t="s">
        <v>429</v>
      </c>
      <c r="J106" s="21">
        <v>25</v>
      </c>
      <c r="K106" s="13">
        <f t="shared" si="9"/>
        <v>75</v>
      </c>
      <c r="L106" s="13">
        <v>2</v>
      </c>
      <c r="M106" s="21">
        <v>3</v>
      </c>
      <c r="N106" s="21">
        <v>1</v>
      </c>
      <c r="O106" s="13">
        <f t="shared" si="6"/>
        <v>2</v>
      </c>
      <c r="P106" s="13" t="str">
        <f t="shared" si="7"/>
        <v>OK</v>
      </c>
      <c r="Q106" s="13">
        <f t="shared" si="8"/>
        <v>0</v>
      </c>
      <c r="R106" s="21" t="s">
        <v>457</v>
      </c>
      <c r="S106" s="24">
        <v>46034</v>
      </c>
    </row>
    <row r="107" spans="3:19" ht="15.75" x14ac:dyDescent="0.25">
      <c r="C107" s="47">
        <v>106</v>
      </c>
      <c r="D107" t="s">
        <v>102</v>
      </c>
      <c r="E107" t="s">
        <v>152</v>
      </c>
      <c r="F107" t="s">
        <v>160</v>
      </c>
      <c r="G107" s="8" t="s">
        <v>163</v>
      </c>
      <c r="H107" s="20">
        <v>500</v>
      </c>
      <c r="I107" s="13" t="s">
        <v>423</v>
      </c>
      <c r="J107" s="21">
        <v>0.45</v>
      </c>
      <c r="K107" s="13">
        <f t="shared" si="9"/>
        <v>225</v>
      </c>
      <c r="L107" s="13">
        <v>0</v>
      </c>
      <c r="M107" s="21">
        <v>2</v>
      </c>
      <c r="N107" s="21">
        <v>50</v>
      </c>
      <c r="O107" s="13">
        <f t="shared" si="6"/>
        <v>50</v>
      </c>
      <c r="P107" s="13" t="str">
        <f t="shared" si="7"/>
        <v>OK</v>
      </c>
      <c r="Q107" s="13">
        <f t="shared" si="8"/>
        <v>0</v>
      </c>
      <c r="R107" s="21" t="s">
        <v>457</v>
      </c>
      <c r="S107" s="24">
        <v>46034</v>
      </c>
    </row>
    <row r="108" spans="3:19" ht="15.75" x14ac:dyDescent="0.25">
      <c r="C108" s="47">
        <v>107</v>
      </c>
      <c r="D108" t="s">
        <v>103</v>
      </c>
      <c r="E108" t="s">
        <v>153</v>
      </c>
      <c r="F108" t="s">
        <v>160</v>
      </c>
      <c r="G108" s="8" t="s">
        <v>374</v>
      </c>
      <c r="H108" s="20">
        <v>2</v>
      </c>
      <c r="I108" s="13" t="s">
        <v>423</v>
      </c>
      <c r="J108" s="21">
        <v>85</v>
      </c>
      <c r="K108" s="13">
        <f t="shared" si="9"/>
        <v>170</v>
      </c>
      <c r="L108" s="13">
        <v>0</v>
      </c>
      <c r="M108" s="21">
        <v>3</v>
      </c>
      <c r="N108" s="21">
        <v>1</v>
      </c>
      <c r="O108" s="13">
        <f t="shared" si="6"/>
        <v>1</v>
      </c>
      <c r="P108" s="13" t="str">
        <f t="shared" si="7"/>
        <v>OK</v>
      </c>
      <c r="Q108" s="13">
        <f t="shared" si="8"/>
        <v>0</v>
      </c>
      <c r="R108" s="21" t="s">
        <v>458</v>
      </c>
      <c r="S108" s="24">
        <v>46034</v>
      </c>
    </row>
    <row r="109" spans="3:19" ht="15.75" x14ac:dyDescent="0.25">
      <c r="C109" s="47">
        <v>108</v>
      </c>
      <c r="D109" t="s">
        <v>104</v>
      </c>
      <c r="E109" t="s">
        <v>153</v>
      </c>
      <c r="F109" t="s">
        <v>160</v>
      </c>
      <c r="G109" s="8" t="s">
        <v>414</v>
      </c>
      <c r="H109" s="20">
        <v>3</v>
      </c>
      <c r="I109" s="13" t="s">
        <v>423</v>
      </c>
      <c r="J109" s="21">
        <v>225</v>
      </c>
      <c r="K109" s="13">
        <f t="shared" si="9"/>
        <v>675</v>
      </c>
      <c r="L109" s="13">
        <v>0</v>
      </c>
      <c r="M109" s="21">
        <v>5</v>
      </c>
      <c r="N109" s="21">
        <v>1</v>
      </c>
      <c r="O109" s="13">
        <f t="shared" si="6"/>
        <v>1</v>
      </c>
      <c r="P109" s="13" t="str">
        <f t="shared" si="7"/>
        <v>OK</v>
      </c>
      <c r="Q109" s="13">
        <f t="shared" si="8"/>
        <v>0</v>
      </c>
      <c r="R109" s="21" t="s">
        <v>458</v>
      </c>
      <c r="S109" s="24">
        <v>46034</v>
      </c>
    </row>
    <row r="110" spans="3:19" ht="15.75" x14ac:dyDescent="0.25">
      <c r="C110" s="47">
        <v>109</v>
      </c>
      <c r="D110" t="s">
        <v>105</v>
      </c>
      <c r="E110" t="s">
        <v>153</v>
      </c>
      <c r="F110" t="s">
        <v>160</v>
      </c>
      <c r="G110" s="8" t="s">
        <v>413</v>
      </c>
      <c r="H110" s="20">
        <v>3</v>
      </c>
      <c r="I110" s="13" t="s">
        <v>423</v>
      </c>
      <c r="J110" s="21">
        <v>45</v>
      </c>
      <c r="K110" s="13">
        <f t="shared" si="9"/>
        <v>135</v>
      </c>
      <c r="L110" s="13">
        <v>0</v>
      </c>
      <c r="M110" s="21">
        <v>7</v>
      </c>
      <c r="N110" s="21">
        <v>1</v>
      </c>
      <c r="O110" s="13">
        <f t="shared" si="6"/>
        <v>1</v>
      </c>
      <c r="P110" s="13" t="str">
        <f t="shared" si="7"/>
        <v>OK</v>
      </c>
      <c r="Q110" s="13">
        <f t="shared" si="8"/>
        <v>0</v>
      </c>
      <c r="R110" s="21" t="s">
        <v>458</v>
      </c>
      <c r="S110" s="24">
        <v>46034</v>
      </c>
    </row>
    <row r="111" spans="3:19" ht="15.75" x14ac:dyDescent="0.25">
      <c r="C111" s="47">
        <v>110</v>
      </c>
      <c r="D111" t="s">
        <v>106</v>
      </c>
      <c r="E111" t="s">
        <v>153</v>
      </c>
      <c r="F111" t="s">
        <v>160</v>
      </c>
      <c r="G111" s="8" t="s">
        <v>411</v>
      </c>
      <c r="H111" s="20">
        <v>4</v>
      </c>
      <c r="I111" s="13" t="s">
        <v>423</v>
      </c>
      <c r="J111" s="21">
        <v>15</v>
      </c>
      <c r="K111" s="13">
        <f t="shared" si="9"/>
        <v>60</v>
      </c>
      <c r="L111" s="13">
        <v>2</v>
      </c>
      <c r="M111" s="21">
        <v>5</v>
      </c>
      <c r="N111" s="21">
        <v>1</v>
      </c>
      <c r="O111" s="13">
        <f t="shared" si="6"/>
        <v>2</v>
      </c>
      <c r="P111" s="13" t="str">
        <f t="shared" si="7"/>
        <v>OK</v>
      </c>
      <c r="Q111" s="13">
        <f t="shared" si="8"/>
        <v>0</v>
      </c>
      <c r="R111" s="21" t="s">
        <v>457</v>
      </c>
      <c r="S111" s="24">
        <v>46034</v>
      </c>
    </row>
    <row r="112" spans="3:19" ht="15.75" x14ac:dyDescent="0.25">
      <c r="C112" s="47">
        <v>111</v>
      </c>
      <c r="D112" t="s">
        <v>107</v>
      </c>
      <c r="E112" t="s">
        <v>153</v>
      </c>
      <c r="F112" t="s">
        <v>160</v>
      </c>
      <c r="G112" s="8" t="s">
        <v>162</v>
      </c>
      <c r="H112" s="20">
        <v>4</v>
      </c>
      <c r="I112" s="13" t="s">
        <v>435</v>
      </c>
      <c r="J112" s="21">
        <v>145</v>
      </c>
      <c r="K112" s="13">
        <f t="shared" si="9"/>
        <v>580</v>
      </c>
      <c r="L112" s="13">
        <v>5</v>
      </c>
      <c r="M112" s="21">
        <v>5</v>
      </c>
      <c r="N112" s="21">
        <v>1</v>
      </c>
      <c r="O112" s="13">
        <f t="shared" si="6"/>
        <v>2</v>
      </c>
      <c r="P112" s="13" t="str">
        <f t="shared" si="7"/>
        <v>OK</v>
      </c>
      <c r="Q112" s="13">
        <f t="shared" si="8"/>
        <v>0</v>
      </c>
      <c r="R112" s="21" t="s">
        <v>458</v>
      </c>
      <c r="S112" s="24">
        <v>46034</v>
      </c>
    </row>
    <row r="113" spans="3:19" ht="15.75" x14ac:dyDescent="0.25">
      <c r="C113" s="47">
        <v>112</v>
      </c>
      <c r="D113" t="s">
        <v>108</v>
      </c>
      <c r="E113" t="s">
        <v>153</v>
      </c>
      <c r="F113" t="s">
        <v>160</v>
      </c>
      <c r="G113" s="8" t="s">
        <v>162</v>
      </c>
      <c r="H113" s="20">
        <v>6</v>
      </c>
      <c r="I113" s="13" t="s">
        <v>436</v>
      </c>
      <c r="J113" s="21">
        <v>85</v>
      </c>
      <c r="K113" s="13">
        <f t="shared" si="9"/>
        <v>510</v>
      </c>
      <c r="L113" s="13">
        <v>10</v>
      </c>
      <c r="M113" s="21">
        <v>5</v>
      </c>
      <c r="N113" s="21">
        <v>1</v>
      </c>
      <c r="O113" s="13">
        <f t="shared" si="6"/>
        <v>3</v>
      </c>
      <c r="P113" s="13" t="str">
        <f t="shared" si="7"/>
        <v>OK</v>
      </c>
      <c r="Q113" s="13">
        <f t="shared" si="8"/>
        <v>0</v>
      </c>
      <c r="R113" s="21" t="s">
        <v>458</v>
      </c>
      <c r="S113" s="24">
        <v>46034</v>
      </c>
    </row>
    <row r="114" spans="3:19" ht="15.75" x14ac:dyDescent="0.25">
      <c r="C114" s="47">
        <v>113</v>
      </c>
      <c r="D114" t="s">
        <v>109</v>
      </c>
      <c r="E114" t="s">
        <v>153</v>
      </c>
      <c r="F114" t="s">
        <v>160</v>
      </c>
      <c r="G114" s="8" t="s">
        <v>415</v>
      </c>
      <c r="H114" s="20">
        <v>2</v>
      </c>
      <c r="I114" s="13" t="s">
        <v>437</v>
      </c>
      <c r="J114" s="21">
        <v>125</v>
      </c>
      <c r="K114" s="13">
        <f t="shared" si="9"/>
        <v>250</v>
      </c>
      <c r="L114" s="13">
        <v>4</v>
      </c>
      <c r="M114" s="21">
        <v>5</v>
      </c>
      <c r="N114" s="21">
        <v>5</v>
      </c>
      <c r="O114" s="13">
        <f t="shared" si="6"/>
        <v>6</v>
      </c>
      <c r="P114" s="13" t="str">
        <f t="shared" si="7"/>
        <v>REORDER</v>
      </c>
      <c r="Q114" s="13">
        <f t="shared" si="8"/>
        <v>7</v>
      </c>
      <c r="R114" s="21" t="s">
        <v>457</v>
      </c>
      <c r="S114" s="24">
        <v>46034</v>
      </c>
    </row>
    <row r="115" spans="3:19" ht="15.75" x14ac:dyDescent="0.25">
      <c r="C115" s="47">
        <v>114</v>
      </c>
      <c r="D115" t="s">
        <v>110</v>
      </c>
      <c r="E115" t="s">
        <v>153</v>
      </c>
      <c r="F115" t="s">
        <v>160</v>
      </c>
      <c r="G115" s="8" t="s">
        <v>416</v>
      </c>
      <c r="H115" s="20">
        <v>10</v>
      </c>
      <c r="I115" s="13" t="s">
        <v>423</v>
      </c>
      <c r="J115" s="21">
        <v>65</v>
      </c>
      <c r="K115" s="13">
        <f t="shared" si="9"/>
        <v>650</v>
      </c>
      <c r="L115" s="13">
        <v>1</v>
      </c>
      <c r="M115" s="21">
        <v>5</v>
      </c>
      <c r="N115" s="21">
        <v>5</v>
      </c>
      <c r="O115" s="13">
        <f t="shared" si="6"/>
        <v>6</v>
      </c>
      <c r="P115" s="13" t="str">
        <f t="shared" si="7"/>
        <v>OK</v>
      </c>
      <c r="Q115" s="13">
        <f t="shared" si="8"/>
        <v>0</v>
      </c>
      <c r="R115" s="21" t="s">
        <v>457</v>
      </c>
      <c r="S115" s="24">
        <v>46034</v>
      </c>
    </row>
    <row r="116" spans="3:19" ht="15.75" x14ac:dyDescent="0.25">
      <c r="C116" s="47">
        <v>115</v>
      </c>
      <c r="D116" t="s">
        <v>111</v>
      </c>
      <c r="E116" t="s">
        <v>153</v>
      </c>
      <c r="F116" t="s">
        <v>158</v>
      </c>
      <c r="G116" s="8" t="s">
        <v>163</v>
      </c>
      <c r="H116" s="20">
        <v>2</v>
      </c>
      <c r="I116" s="13" t="s">
        <v>430</v>
      </c>
      <c r="J116" s="21">
        <v>185</v>
      </c>
      <c r="K116" s="13">
        <f t="shared" si="9"/>
        <v>370</v>
      </c>
      <c r="L116" s="13">
        <v>5</v>
      </c>
      <c r="M116" s="21">
        <v>2</v>
      </c>
      <c r="N116" s="21">
        <v>5</v>
      </c>
      <c r="O116" s="13">
        <f t="shared" si="6"/>
        <v>6</v>
      </c>
      <c r="P116" s="13" t="str">
        <f t="shared" si="7"/>
        <v>REORDER</v>
      </c>
      <c r="Q116" s="13">
        <f t="shared" si="8"/>
        <v>8</v>
      </c>
      <c r="R116" s="21" t="s">
        <v>457</v>
      </c>
      <c r="S116" s="24">
        <v>46034</v>
      </c>
    </row>
    <row r="117" spans="3:19" ht="15.75" x14ac:dyDescent="0.25">
      <c r="C117" s="47">
        <v>116</v>
      </c>
      <c r="D117" t="s">
        <v>112</v>
      </c>
      <c r="E117" t="s">
        <v>153</v>
      </c>
      <c r="F117" t="s">
        <v>158</v>
      </c>
      <c r="G117" s="8" t="s">
        <v>163</v>
      </c>
      <c r="H117" s="20">
        <v>1</v>
      </c>
      <c r="I117" s="13" t="s">
        <v>430</v>
      </c>
      <c r="J117" s="21">
        <v>225</v>
      </c>
      <c r="K117" s="13">
        <f t="shared" si="9"/>
        <v>225</v>
      </c>
      <c r="L117" s="13">
        <v>2</v>
      </c>
      <c r="M117" s="21">
        <v>2</v>
      </c>
      <c r="N117" s="21">
        <v>1</v>
      </c>
      <c r="O117" s="13">
        <f t="shared" si="6"/>
        <v>2</v>
      </c>
      <c r="P117" s="13" t="str">
        <f t="shared" si="7"/>
        <v>REORDER</v>
      </c>
      <c r="Q117" s="13">
        <f t="shared" si="8"/>
        <v>2</v>
      </c>
      <c r="R117" s="21" t="s">
        <v>457</v>
      </c>
      <c r="S117" s="24">
        <v>46034</v>
      </c>
    </row>
    <row r="118" spans="3:19" ht="15.75" x14ac:dyDescent="0.25">
      <c r="C118" s="47">
        <v>117</v>
      </c>
      <c r="D118" t="s">
        <v>113</v>
      </c>
      <c r="E118" t="s">
        <v>154</v>
      </c>
      <c r="F118" t="s">
        <v>158</v>
      </c>
      <c r="G118" s="8" t="s">
        <v>163</v>
      </c>
      <c r="H118" s="20">
        <v>1</v>
      </c>
      <c r="I118" s="13" t="s">
        <v>430</v>
      </c>
      <c r="J118" s="21">
        <v>350</v>
      </c>
      <c r="K118" s="13">
        <f t="shared" si="9"/>
        <v>350</v>
      </c>
      <c r="L118" s="13">
        <v>1</v>
      </c>
      <c r="M118" s="21">
        <v>2</v>
      </c>
      <c r="N118" s="21">
        <v>1</v>
      </c>
      <c r="O118" s="13">
        <f t="shared" si="6"/>
        <v>2</v>
      </c>
      <c r="P118" s="13" t="str">
        <f t="shared" si="7"/>
        <v>REORDER</v>
      </c>
      <c r="Q118" s="13">
        <f t="shared" si="8"/>
        <v>1</v>
      </c>
      <c r="R118" s="21" t="s">
        <v>457</v>
      </c>
      <c r="S118" s="24">
        <v>46034</v>
      </c>
    </row>
    <row r="119" spans="3:19" ht="15.75" x14ac:dyDescent="0.25">
      <c r="C119" s="47">
        <v>118</v>
      </c>
      <c r="D119" t="s">
        <v>114</v>
      </c>
      <c r="E119" t="s">
        <v>154</v>
      </c>
      <c r="F119" t="s">
        <v>158</v>
      </c>
      <c r="G119" s="8" t="s">
        <v>416</v>
      </c>
      <c r="H119" s="20">
        <v>5</v>
      </c>
      <c r="I119" s="13" t="s">
        <v>431</v>
      </c>
      <c r="J119" s="21">
        <v>55</v>
      </c>
      <c r="K119" s="13">
        <f t="shared" si="9"/>
        <v>275</v>
      </c>
      <c r="L119" s="13">
        <v>1</v>
      </c>
      <c r="M119" s="21">
        <v>3</v>
      </c>
      <c r="N119" s="21">
        <v>1</v>
      </c>
      <c r="O119" s="13">
        <f t="shared" si="6"/>
        <v>2</v>
      </c>
      <c r="P119" s="13" t="str">
        <f t="shared" si="7"/>
        <v>OK</v>
      </c>
      <c r="Q119" s="13">
        <f t="shared" si="8"/>
        <v>0</v>
      </c>
      <c r="R119" s="21" t="s">
        <v>457</v>
      </c>
      <c r="S119" s="24">
        <v>46034</v>
      </c>
    </row>
    <row r="120" spans="3:19" ht="15.75" x14ac:dyDescent="0.25">
      <c r="C120" s="47">
        <v>119</v>
      </c>
      <c r="D120" t="s">
        <v>115</v>
      </c>
      <c r="E120" t="s">
        <v>154</v>
      </c>
      <c r="F120" t="s">
        <v>158</v>
      </c>
      <c r="G120" s="8" t="s">
        <v>375</v>
      </c>
      <c r="H120" s="20">
        <v>2</v>
      </c>
      <c r="I120" s="13" t="s">
        <v>423</v>
      </c>
      <c r="J120" s="21">
        <v>185</v>
      </c>
      <c r="K120" s="13">
        <f t="shared" si="9"/>
        <v>370</v>
      </c>
      <c r="L120" s="13">
        <v>0</v>
      </c>
      <c r="M120" s="21">
        <v>5</v>
      </c>
      <c r="N120" s="21">
        <v>1</v>
      </c>
      <c r="O120" s="13">
        <f t="shared" si="6"/>
        <v>1</v>
      </c>
      <c r="P120" s="13" t="str">
        <f t="shared" si="7"/>
        <v>OK</v>
      </c>
      <c r="Q120" s="13">
        <f t="shared" si="8"/>
        <v>0</v>
      </c>
      <c r="R120" s="21" t="s">
        <v>458</v>
      </c>
      <c r="S120" s="24">
        <v>46034</v>
      </c>
    </row>
    <row r="121" spans="3:19" ht="15.75" x14ac:dyDescent="0.25">
      <c r="C121" s="47">
        <v>120</v>
      </c>
      <c r="D121" t="s">
        <v>116</v>
      </c>
      <c r="E121" t="s">
        <v>154</v>
      </c>
      <c r="F121" t="s">
        <v>157</v>
      </c>
      <c r="G121" s="8" t="s">
        <v>375</v>
      </c>
      <c r="H121" s="20">
        <v>2</v>
      </c>
      <c r="I121" s="13" t="s">
        <v>423</v>
      </c>
      <c r="J121" s="21">
        <v>215</v>
      </c>
      <c r="K121" s="13">
        <f t="shared" si="9"/>
        <v>430</v>
      </c>
      <c r="L121" s="13">
        <v>0</v>
      </c>
      <c r="M121" s="21">
        <v>5</v>
      </c>
      <c r="N121" s="21">
        <v>1</v>
      </c>
      <c r="O121" s="13">
        <f t="shared" si="6"/>
        <v>1</v>
      </c>
      <c r="P121" s="13" t="str">
        <f t="shared" si="7"/>
        <v>OK</v>
      </c>
      <c r="Q121" s="13">
        <f t="shared" si="8"/>
        <v>0</v>
      </c>
      <c r="R121" s="21" t="s">
        <v>458</v>
      </c>
      <c r="S121" s="24">
        <v>46034</v>
      </c>
    </row>
    <row r="122" spans="3:19" ht="15.75" x14ac:dyDescent="0.25">
      <c r="C122" s="47">
        <v>121</v>
      </c>
      <c r="D122" t="s">
        <v>117</v>
      </c>
      <c r="E122" t="s">
        <v>154</v>
      </c>
      <c r="F122" t="s">
        <v>159</v>
      </c>
      <c r="G122" s="8" t="s">
        <v>163</v>
      </c>
      <c r="H122" s="20">
        <v>500</v>
      </c>
      <c r="I122" s="13" t="s">
        <v>423</v>
      </c>
      <c r="J122" s="21">
        <v>0.85</v>
      </c>
      <c r="K122" s="13">
        <f t="shared" si="9"/>
        <v>425</v>
      </c>
      <c r="L122" s="13">
        <v>0</v>
      </c>
      <c r="M122" s="21">
        <v>2</v>
      </c>
      <c r="N122" s="21">
        <v>100</v>
      </c>
      <c r="O122" s="13">
        <f t="shared" si="6"/>
        <v>100</v>
      </c>
      <c r="P122" s="13" t="str">
        <f t="shared" si="7"/>
        <v>OK</v>
      </c>
      <c r="Q122" s="13">
        <f t="shared" si="8"/>
        <v>0</v>
      </c>
      <c r="R122" s="21" t="s">
        <v>457</v>
      </c>
      <c r="S122" s="24">
        <v>46034</v>
      </c>
    </row>
    <row r="123" spans="3:19" ht="15.75" x14ac:dyDescent="0.25">
      <c r="C123" s="47">
        <v>122</v>
      </c>
      <c r="D123" t="s">
        <v>118</v>
      </c>
      <c r="E123" t="s">
        <v>154</v>
      </c>
      <c r="F123" t="s">
        <v>161</v>
      </c>
      <c r="G123" s="8" t="s">
        <v>163</v>
      </c>
      <c r="H123" s="20">
        <v>500</v>
      </c>
      <c r="I123" s="13" t="s">
        <v>423</v>
      </c>
      <c r="J123" s="21">
        <v>0.45</v>
      </c>
      <c r="K123" s="13">
        <f t="shared" si="9"/>
        <v>225</v>
      </c>
      <c r="L123" s="13">
        <v>5</v>
      </c>
      <c r="M123" s="21">
        <v>2</v>
      </c>
      <c r="N123" s="21">
        <v>100</v>
      </c>
      <c r="O123" s="13">
        <f t="shared" si="6"/>
        <v>101</v>
      </c>
      <c r="P123" s="13" t="str">
        <f t="shared" si="7"/>
        <v>OK</v>
      </c>
      <c r="Q123" s="13">
        <f t="shared" si="8"/>
        <v>0</v>
      </c>
      <c r="R123" s="21" t="s">
        <v>457</v>
      </c>
      <c r="S123" s="24">
        <v>46034</v>
      </c>
    </row>
    <row r="124" spans="3:19" ht="15.75" x14ac:dyDescent="0.25">
      <c r="C124" s="47">
        <v>123</v>
      </c>
      <c r="D124" t="s">
        <v>119</v>
      </c>
      <c r="E124" t="s">
        <v>154</v>
      </c>
      <c r="F124" t="s">
        <v>161</v>
      </c>
      <c r="G124" s="8" t="s">
        <v>163</v>
      </c>
      <c r="H124" s="20">
        <v>1000</v>
      </c>
      <c r="I124" s="13" t="s">
        <v>423</v>
      </c>
      <c r="J124" s="21">
        <v>0.25</v>
      </c>
      <c r="K124" s="13">
        <f t="shared" si="9"/>
        <v>250</v>
      </c>
      <c r="L124" s="13">
        <v>5</v>
      </c>
      <c r="M124" s="21">
        <v>2</v>
      </c>
      <c r="N124" s="21">
        <v>150</v>
      </c>
      <c r="O124" s="13">
        <f t="shared" si="6"/>
        <v>151</v>
      </c>
      <c r="P124" s="13" t="str">
        <f t="shared" si="7"/>
        <v>OK</v>
      </c>
      <c r="Q124" s="13">
        <f t="shared" si="8"/>
        <v>0</v>
      </c>
      <c r="R124" s="21" t="s">
        <v>457</v>
      </c>
      <c r="S124" s="24">
        <v>46034</v>
      </c>
    </row>
    <row r="125" spans="3:19" ht="15.75" x14ac:dyDescent="0.25">
      <c r="C125" s="47">
        <v>124</v>
      </c>
      <c r="D125" t="s">
        <v>120</v>
      </c>
      <c r="E125" t="s">
        <v>154</v>
      </c>
      <c r="F125" t="s">
        <v>157</v>
      </c>
      <c r="G125" s="8" t="s">
        <v>163</v>
      </c>
      <c r="H125" s="20">
        <v>200</v>
      </c>
      <c r="I125" s="13" t="s">
        <v>423</v>
      </c>
      <c r="J125" s="21">
        <v>0.15</v>
      </c>
      <c r="K125" s="13">
        <f t="shared" si="9"/>
        <v>30</v>
      </c>
      <c r="L125" s="13">
        <v>0</v>
      </c>
      <c r="M125" s="21">
        <v>2</v>
      </c>
      <c r="N125" s="21">
        <v>40</v>
      </c>
      <c r="O125" s="13">
        <f t="shared" si="6"/>
        <v>40</v>
      </c>
      <c r="P125" s="13" t="str">
        <f t="shared" si="7"/>
        <v>OK</v>
      </c>
      <c r="Q125" s="13">
        <f t="shared" si="8"/>
        <v>0</v>
      </c>
      <c r="R125" s="21" t="s">
        <v>457</v>
      </c>
      <c r="S125" s="24">
        <v>46034</v>
      </c>
    </row>
    <row r="126" spans="3:19" ht="15.75" x14ac:dyDescent="0.25">
      <c r="C126" s="47">
        <v>125</v>
      </c>
      <c r="D126" t="s">
        <v>121</v>
      </c>
      <c r="E126" t="s">
        <v>154</v>
      </c>
      <c r="F126" t="s">
        <v>157</v>
      </c>
      <c r="G126" s="8" t="s">
        <v>376</v>
      </c>
      <c r="H126" s="20">
        <v>5</v>
      </c>
      <c r="I126" s="13" t="s">
        <v>425</v>
      </c>
      <c r="J126" s="21">
        <v>22</v>
      </c>
      <c r="K126" s="13">
        <f t="shared" si="9"/>
        <v>110</v>
      </c>
      <c r="L126" s="13">
        <v>0</v>
      </c>
      <c r="M126" s="21">
        <v>2</v>
      </c>
      <c r="N126" s="21">
        <v>1</v>
      </c>
      <c r="O126" s="13">
        <f t="shared" si="6"/>
        <v>1</v>
      </c>
      <c r="P126" s="13" t="str">
        <f t="shared" si="7"/>
        <v>OK</v>
      </c>
      <c r="Q126" s="13">
        <f t="shared" si="8"/>
        <v>0</v>
      </c>
      <c r="R126" s="21" t="s">
        <v>457</v>
      </c>
      <c r="S126" s="24">
        <v>46034</v>
      </c>
    </row>
    <row r="127" spans="3:19" ht="15.75" x14ac:dyDescent="0.25">
      <c r="C127" s="47">
        <v>126</v>
      </c>
      <c r="D127" t="s">
        <v>122</v>
      </c>
      <c r="E127" t="s">
        <v>154</v>
      </c>
      <c r="F127" t="s">
        <v>157</v>
      </c>
      <c r="G127" s="8" t="s">
        <v>417</v>
      </c>
      <c r="H127" s="20">
        <v>2</v>
      </c>
      <c r="I127" s="13" t="s">
        <v>437</v>
      </c>
      <c r="J127" s="21">
        <v>45</v>
      </c>
      <c r="K127" s="13">
        <f t="shared" si="9"/>
        <v>90</v>
      </c>
      <c r="L127" s="13">
        <v>0</v>
      </c>
      <c r="M127" s="21">
        <v>2</v>
      </c>
      <c r="N127" s="21">
        <v>3</v>
      </c>
      <c r="O127" s="13">
        <f>ROUNDUP((((L127/30)*M127)+N127),0)</f>
        <v>3</v>
      </c>
      <c r="P127" s="13" t="str">
        <f t="shared" si="7"/>
        <v>REORDER</v>
      </c>
      <c r="Q127" s="13">
        <f t="shared" si="8"/>
        <v>1</v>
      </c>
      <c r="R127" s="21" t="s">
        <v>457</v>
      </c>
      <c r="S127" s="24">
        <v>46034</v>
      </c>
    </row>
    <row r="128" spans="3:19" ht="15.75" x14ac:dyDescent="0.25">
      <c r="C128" s="47">
        <v>127</v>
      </c>
      <c r="D128" t="s">
        <v>123</v>
      </c>
      <c r="E128" t="s">
        <v>154</v>
      </c>
      <c r="F128" t="s">
        <v>157</v>
      </c>
      <c r="G128" s="8" t="s">
        <v>377</v>
      </c>
      <c r="H128" s="20">
        <v>10</v>
      </c>
      <c r="I128" s="13" t="s">
        <v>438</v>
      </c>
      <c r="J128" s="21">
        <v>8.5</v>
      </c>
      <c r="K128" s="13">
        <f t="shared" si="9"/>
        <v>85</v>
      </c>
      <c r="L128" s="13">
        <v>0</v>
      </c>
      <c r="M128" s="21">
        <v>2</v>
      </c>
      <c r="N128" s="21">
        <v>3</v>
      </c>
      <c r="O128" s="13">
        <f t="shared" si="6"/>
        <v>3</v>
      </c>
      <c r="P128" s="13" t="str">
        <f t="shared" si="7"/>
        <v>OK</v>
      </c>
      <c r="Q128" s="13">
        <f t="shared" si="8"/>
        <v>0</v>
      </c>
      <c r="R128" s="21" t="s">
        <v>457</v>
      </c>
      <c r="S128" s="24">
        <v>46034</v>
      </c>
    </row>
    <row r="129" spans="3:19" ht="15.75" x14ac:dyDescent="0.25">
      <c r="C129" s="47">
        <v>128</v>
      </c>
      <c r="D129" t="s">
        <v>124</v>
      </c>
      <c r="E129" t="s">
        <v>154</v>
      </c>
      <c r="F129" t="s">
        <v>160</v>
      </c>
      <c r="G129" s="8" t="s">
        <v>163</v>
      </c>
      <c r="H129" s="20">
        <v>40</v>
      </c>
      <c r="I129" s="13" t="s">
        <v>439</v>
      </c>
      <c r="J129" s="21">
        <v>4.5</v>
      </c>
      <c r="K129" s="13">
        <f t="shared" si="9"/>
        <v>180</v>
      </c>
      <c r="L129" s="13">
        <v>0</v>
      </c>
      <c r="M129" s="21">
        <v>2</v>
      </c>
      <c r="N129" s="21">
        <v>10</v>
      </c>
      <c r="O129" s="13">
        <f t="shared" si="6"/>
        <v>10</v>
      </c>
      <c r="P129" s="13" t="str">
        <f t="shared" si="7"/>
        <v>OK</v>
      </c>
      <c r="Q129" s="13">
        <f t="shared" si="8"/>
        <v>0</v>
      </c>
      <c r="R129" s="21" t="s">
        <v>457</v>
      </c>
      <c r="S129" s="24">
        <v>46034</v>
      </c>
    </row>
    <row r="130" spans="3:19" ht="15.75" x14ac:dyDescent="0.25">
      <c r="C130" s="47">
        <v>129</v>
      </c>
      <c r="D130" t="s">
        <v>125</v>
      </c>
      <c r="E130" t="s">
        <v>154</v>
      </c>
      <c r="F130" t="s">
        <v>160</v>
      </c>
      <c r="G130" s="8" t="s">
        <v>163</v>
      </c>
      <c r="H130" s="20">
        <v>100</v>
      </c>
      <c r="I130" s="13" t="s">
        <v>423</v>
      </c>
      <c r="J130" s="21">
        <v>0.85</v>
      </c>
      <c r="K130" s="13">
        <f>H130*J130</f>
        <v>85</v>
      </c>
      <c r="L130" s="13">
        <v>20</v>
      </c>
      <c r="M130" s="21">
        <v>2</v>
      </c>
      <c r="N130" s="21">
        <v>20</v>
      </c>
      <c r="O130" s="13">
        <f>ROUNDUP((((L130/30)*M130)+N130),0)</f>
        <v>22</v>
      </c>
      <c r="P130" s="13" t="str">
        <f t="shared" si="7"/>
        <v>OK</v>
      </c>
      <c r="Q130" s="13">
        <f t="shared" si="8"/>
        <v>0</v>
      </c>
      <c r="R130" s="21" t="s">
        <v>457</v>
      </c>
      <c r="S130" s="24">
        <v>46034</v>
      </c>
    </row>
    <row r="131" spans="3:19" ht="15.75" x14ac:dyDescent="0.25">
      <c r="C131" s="47">
        <v>130</v>
      </c>
      <c r="D131" t="s">
        <v>127</v>
      </c>
      <c r="E131" t="s">
        <v>154</v>
      </c>
      <c r="F131" t="s">
        <v>157</v>
      </c>
      <c r="G131" s="8" t="s">
        <v>163</v>
      </c>
      <c r="H131" s="20">
        <v>50</v>
      </c>
      <c r="I131" s="13" t="s">
        <v>423</v>
      </c>
      <c r="J131" s="21">
        <v>1.25</v>
      </c>
      <c r="K131" s="13">
        <f>H131*J131</f>
        <v>62.5</v>
      </c>
      <c r="L131" s="13">
        <v>30</v>
      </c>
      <c r="M131" s="21">
        <v>2</v>
      </c>
      <c r="N131" s="21">
        <v>10</v>
      </c>
      <c r="O131" s="13">
        <f t="shared" ref="O131:O140" si="10">ROUNDUP((((L131/30)*M131)+N131),0)</f>
        <v>12</v>
      </c>
      <c r="P131" s="13" t="str">
        <f t="shared" ref="P131:P140" si="11">IF(H131 &lt;= O131, "REORDER", "OK")</f>
        <v>OK</v>
      </c>
      <c r="Q131" s="13">
        <f t="shared" ref="Q131:Q140" si="12">IF(P131="REORDER",(L131+N131)-H131,0)</f>
        <v>0</v>
      </c>
      <c r="R131" s="21" t="s">
        <v>457</v>
      </c>
      <c r="S131" s="24">
        <v>46034</v>
      </c>
    </row>
    <row r="132" spans="3:19" ht="15.75" x14ac:dyDescent="0.25">
      <c r="C132" s="47">
        <v>131</v>
      </c>
      <c r="D132" t="s">
        <v>128</v>
      </c>
      <c r="E132" t="s">
        <v>154</v>
      </c>
      <c r="F132" t="s">
        <v>157</v>
      </c>
      <c r="G132" s="8" t="s">
        <v>163</v>
      </c>
      <c r="H132" s="20">
        <v>50</v>
      </c>
      <c r="I132" s="13" t="s">
        <v>423</v>
      </c>
      <c r="J132" s="21">
        <v>2.4500000000000002</v>
      </c>
      <c r="K132" s="13">
        <f>H132*J132</f>
        <v>122.50000000000001</v>
      </c>
      <c r="L132" s="13">
        <v>5</v>
      </c>
      <c r="M132" s="21">
        <v>2</v>
      </c>
      <c r="N132" s="21">
        <v>15</v>
      </c>
      <c r="O132" s="13">
        <f t="shared" si="10"/>
        <v>16</v>
      </c>
      <c r="P132" s="13" t="str">
        <f t="shared" si="11"/>
        <v>OK</v>
      </c>
      <c r="Q132" s="13">
        <f t="shared" si="12"/>
        <v>0</v>
      </c>
      <c r="R132" s="21" t="s">
        <v>457</v>
      </c>
      <c r="S132" s="24">
        <v>46034</v>
      </c>
    </row>
    <row r="133" spans="3:19" ht="15.75" x14ac:dyDescent="0.25">
      <c r="C133" s="47">
        <v>132</v>
      </c>
      <c r="D133" t="s">
        <v>129</v>
      </c>
      <c r="E133" t="s">
        <v>154</v>
      </c>
      <c r="F133" t="s">
        <v>161</v>
      </c>
      <c r="G133" s="8" t="s">
        <v>378</v>
      </c>
      <c r="H133" s="20">
        <v>4</v>
      </c>
      <c r="I133" s="13" t="s">
        <v>432</v>
      </c>
      <c r="J133" s="21">
        <v>12</v>
      </c>
      <c r="K133" s="13">
        <f>H133*J133</f>
        <v>48</v>
      </c>
      <c r="L133" s="13">
        <v>1</v>
      </c>
      <c r="M133" s="21">
        <v>2</v>
      </c>
      <c r="N133" s="21">
        <v>1</v>
      </c>
      <c r="O133" s="13">
        <f t="shared" si="10"/>
        <v>2</v>
      </c>
      <c r="P133" s="13" t="str">
        <f t="shared" si="11"/>
        <v>OK</v>
      </c>
      <c r="Q133" s="13">
        <f t="shared" si="12"/>
        <v>0</v>
      </c>
      <c r="R133" s="21" t="s">
        <v>457</v>
      </c>
      <c r="S133" s="24">
        <v>46034</v>
      </c>
    </row>
    <row r="134" spans="3:19" ht="15.75" x14ac:dyDescent="0.25">
      <c r="C134" s="47">
        <v>133</v>
      </c>
      <c r="D134" t="s">
        <v>130</v>
      </c>
      <c r="E134" t="s">
        <v>154</v>
      </c>
      <c r="F134" t="s">
        <v>159</v>
      </c>
      <c r="G134" s="8" t="s">
        <v>378</v>
      </c>
      <c r="H134" s="20">
        <v>2</v>
      </c>
      <c r="I134" s="13" t="s">
        <v>433</v>
      </c>
      <c r="J134" s="21">
        <v>18</v>
      </c>
      <c r="K134" s="13">
        <f>H134*J134</f>
        <v>36</v>
      </c>
      <c r="L134" s="13">
        <v>15</v>
      </c>
      <c r="M134" s="21">
        <v>2</v>
      </c>
      <c r="N134" s="21">
        <v>1</v>
      </c>
      <c r="O134" s="13">
        <f t="shared" si="10"/>
        <v>2</v>
      </c>
      <c r="P134" s="13" t="str">
        <f t="shared" si="11"/>
        <v>REORDER</v>
      </c>
      <c r="Q134" s="13">
        <f>IF(P134="REORDER",(L134+N134)-H134,0)</f>
        <v>14</v>
      </c>
      <c r="R134" s="21" t="s">
        <v>457</v>
      </c>
      <c r="S134" s="24">
        <v>46034</v>
      </c>
    </row>
    <row r="135" spans="3:19" ht="15.75" x14ac:dyDescent="0.25">
      <c r="C135" s="47">
        <v>134</v>
      </c>
      <c r="D135" t="s">
        <v>131</v>
      </c>
      <c r="E135" t="s">
        <v>154</v>
      </c>
      <c r="F135" t="s">
        <v>159</v>
      </c>
      <c r="G135" s="8" t="s">
        <v>376</v>
      </c>
      <c r="H135" s="20">
        <v>4</v>
      </c>
      <c r="I135" s="13" t="s">
        <v>425</v>
      </c>
      <c r="J135" s="21">
        <v>22</v>
      </c>
      <c r="K135" s="13">
        <f>H135*J135</f>
        <v>88</v>
      </c>
      <c r="L135" s="13">
        <v>3</v>
      </c>
      <c r="M135" s="21">
        <v>2</v>
      </c>
      <c r="N135" s="21">
        <v>1</v>
      </c>
      <c r="O135" s="13">
        <f t="shared" si="10"/>
        <v>2</v>
      </c>
      <c r="P135" s="13" t="str">
        <f t="shared" si="11"/>
        <v>OK</v>
      </c>
      <c r="Q135" s="13">
        <f t="shared" si="12"/>
        <v>0</v>
      </c>
      <c r="R135" s="21" t="s">
        <v>457</v>
      </c>
      <c r="S135" s="24">
        <v>46034</v>
      </c>
    </row>
    <row r="136" spans="3:19" ht="15.75" x14ac:dyDescent="0.25">
      <c r="C136" s="47">
        <v>135</v>
      </c>
      <c r="D136" t="s">
        <v>132</v>
      </c>
      <c r="E136" t="s">
        <v>154</v>
      </c>
      <c r="F136" t="s">
        <v>159</v>
      </c>
      <c r="G136" s="8" t="s">
        <v>418</v>
      </c>
      <c r="H136" s="20">
        <v>5</v>
      </c>
      <c r="I136" s="13" t="s">
        <v>434</v>
      </c>
      <c r="J136" s="21">
        <v>14</v>
      </c>
      <c r="K136" s="13">
        <f>H136*J136</f>
        <v>70</v>
      </c>
      <c r="L136" s="13">
        <v>4</v>
      </c>
      <c r="M136" s="21">
        <v>2</v>
      </c>
      <c r="N136" s="21">
        <v>1</v>
      </c>
      <c r="O136" s="13">
        <f t="shared" si="10"/>
        <v>2</v>
      </c>
      <c r="P136" s="13" t="str">
        <f t="shared" si="11"/>
        <v>OK</v>
      </c>
      <c r="Q136" s="13">
        <f t="shared" si="12"/>
        <v>0</v>
      </c>
      <c r="R136" s="21" t="s">
        <v>457</v>
      </c>
      <c r="S136" s="24">
        <v>46034</v>
      </c>
    </row>
    <row r="137" spans="3:19" ht="15.75" x14ac:dyDescent="0.25">
      <c r="C137" s="47">
        <v>136</v>
      </c>
      <c r="D137" t="s">
        <v>133</v>
      </c>
      <c r="E137" t="s">
        <v>154</v>
      </c>
      <c r="F137" t="s">
        <v>159</v>
      </c>
      <c r="G137" s="8" t="s">
        <v>377</v>
      </c>
      <c r="H137" s="20">
        <v>10</v>
      </c>
      <c r="I137" s="13" t="s">
        <v>434</v>
      </c>
      <c r="J137" s="21">
        <v>18</v>
      </c>
      <c r="K137" s="13">
        <f>H137*J137</f>
        <v>180</v>
      </c>
      <c r="L137" s="13">
        <v>8</v>
      </c>
      <c r="M137" s="21">
        <v>2</v>
      </c>
      <c r="N137" s="21">
        <v>10</v>
      </c>
      <c r="O137" s="13">
        <f t="shared" si="10"/>
        <v>11</v>
      </c>
      <c r="P137" s="13" t="str">
        <f t="shared" si="11"/>
        <v>REORDER</v>
      </c>
      <c r="Q137" s="13">
        <f t="shared" si="12"/>
        <v>8</v>
      </c>
      <c r="R137" s="21" t="s">
        <v>457</v>
      </c>
      <c r="S137" s="24">
        <v>46034</v>
      </c>
    </row>
    <row r="138" spans="3:19" ht="15.75" x14ac:dyDescent="0.25">
      <c r="C138" s="47">
        <v>137</v>
      </c>
      <c r="D138" t="s">
        <v>134</v>
      </c>
      <c r="E138" t="s">
        <v>154</v>
      </c>
      <c r="F138" t="s">
        <v>161</v>
      </c>
      <c r="G138" s="8" t="s">
        <v>419</v>
      </c>
      <c r="H138" s="20">
        <v>40</v>
      </c>
      <c r="I138" s="13" t="s">
        <v>423</v>
      </c>
      <c r="J138" s="21">
        <v>6.5</v>
      </c>
      <c r="K138" s="13">
        <f>H138*J138</f>
        <v>260</v>
      </c>
      <c r="L138" s="13">
        <v>6</v>
      </c>
      <c r="M138" s="21">
        <v>2</v>
      </c>
      <c r="N138" s="21">
        <v>15</v>
      </c>
      <c r="O138" s="13">
        <f t="shared" si="10"/>
        <v>16</v>
      </c>
      <c r="P138" s="13" t="str">
        <f t="shared" si="11"/>
        <v>OK</v>
      </c>
      <c r="Q138" s="13">
        <f t="shared" si="12"/>
        <v>0</v>
      </c>
      <c r="R138" s="21" t="s">
        <v>457</v>
      </c>
      <c r="S138" s="24">
        <v>46034</v>
      </c>
    </row>
    <row r="139" spans="3:19" ht="15.75" x14ac:dyDescent="0.25">
      <c r="C139" s="47">
        <v>138</v>
      </c>
      <c r="D139" t="s">
        <v>135</v>
      </c>
      <c r="E139" t="s">
        <v>154</v>
      </c>
      <c r="F139" t="s">
        <v>161</v>
      </c>
      <c r="G139" s="8" t="s">
        <v>419</v>
      </c>
      <c r="H139" s="20">
        <v>40</v>
      </c>
      <c r="I139" s="13" t="s">
        <v>423</v>
      </c>
      <c r="J139" s="21">
        <v>8.5</v>
      </c>
      <c r="K139" s="13">
        <f>H139*J139</f>
        <v>340</v>
      </c>
      <c r="L139" s="13">
        <v>3</v>
      </c>
      <c r="M139" s="21">
        <v>2</v>
      </c>
      <c r="N139" s="21">
        <v>15</v>
      </c>
      <c r="O139" s="13">
        <f t="shared" si="10"/>
        <v>16</v>
      </c>
      <c r="P139" s="13" t="str">
        <f t="shared" si="11"/>
        <v>OK</v>
      </c>
      <c r="Q139" s="13">
        <f t="shared" si="12"/>
        <v>0</v>
      </c>
      <c r="R139" s="21" t="s">
        <v>457</v>
      </c>
      <c r="S139" s="24">
        <v>46034</v>
      </c>
    </row>
    <row r="140" spans="3:19" ht="15.75" x14ac:dyDescent="0.25">
      <c r="C140" s="47">
        <v>139</v>
      </c>
      <c r="D140" t="s">
        <v>136</v>
      </c>
      <c r="E140" t="s">
        <v>154</v>
      </c>
      <c r="F140" t="s">
        <v>161</v>
      </c>
      <c r="G140" s="8" t="s">
        <v>420</v>
      </c>
      <c r="H140" s="22">
        <v>20</v>
      </c>
      <c r="I140" s="17" t="s">
        <v>440</v>
      </c>
      <c r="J140" s="23">
        <v>5.5</v>
      </c>
      <c r="K140" s="17">
        <f>H140*J140</f>
        <v>110</v>
      </c>
      <c r="L140" s="17">
        <v>5</v>
      </c>
      <c r="M140" s="23">
        <v>2</v>
      </c>
      <c r="N140" s="23">
        <v>5</v>
      </c>
      <c r="O140" s="17">
        <f t="shared" si="10"/>
        <v>6</v>
      </c>
      <c r="P140" s="17" t="str">
        <f t="shared" si="11"/>
        <v>OK</v>
      </c>
      <c r="Q140" s="17">
        <f t="shared" si="12"/>
        <v>0</v>
      </c>
      <c r="R140" s="23" t="s">
        <v>457</v>
      </c>
      <c r="S140" s="25">
        <v>46034</v>
      </c>
    </row>
    <row r="141" spans="3:19" ht="15.75" x14ac:dyDescent="0.25">
      <c r="E141" s="9"/>
      <c r="F141" s="9"/>
      <c r="G141" s="9"/>
      <c r="H141" s="9"/>
      <c r="K141" s="9"/>
      <c r="L141" s="9"/>
      <c r="R141" s="9"/>
    </row>
  </sheetData>
  <mergeCells count="1">
    <mergeCell ref="A1:B6"/>
  </mergeCells>
  <conditionalFormatting sqref="P1:P1048576">
    <cfRule type="containsText" dxfId="3" priority="6" operator="containsText" text="REORDER">
      <formula>NOT(ISERROR(SEARCH("REORDER",P1)))</formula>
    </cfRule>
  </conditionalFormatting>
  <conditionalFormatting sqref="R2:R140">
    <cfRule type="cellIs" dxfId="2" priority="5" operator="equal">
      <formula>"A"</formula>
    </cfRule>
  </conditionalFormatting>
  <conditionalFormatting sqref="H2:H140">
    <cfRule type="dataBar" priority="4">
      <dataBar>
        <cfvo type="min"/>
        <cfvo type="max"/>
        <color rgb="FF63C384"/>
      </dataBar>
      <extLst>
        <ext xmlns:x14="http://schemas.microsoft.com/office/spreadsheetml/2009/9/main" uri="{B025F937-C7B1-47D3-B67F-A62EFF666E3E}">
          <x14:id>{74605B84-7625-4754-89F1-B27F5728E0F1}</x14:id>
        </ext>
      </extLst>
    </cfRule>
  </conditionalFormatting>
  <conditionalFormatting sqref="H1:H1048576">
    <cfRule type="dataBar" priority="3">
      <dataBar>
        <cfvo type="min"/>
        <cfvo type="max"/>
        <color rgb="FF638EC6"/>
      </dataBar>
      <extLst>
        <ext xmlns:x14="http://schemas.microsoft.com/office/spreadsheetml/2009/9/main" uri="{B025F937-C7B1-47D3-B67F-A62EFF666E3E}">
          <x14:id>{9AD62EDE-C677-4DDE-86F7-4E02A59BAC11}</x14:id>
        </ext>
      </extLst>
    </cfRule>
  </conditionalFormatting>
  <conditionalFormatting sqref="K1:K1048576">
    <cfRule type="dataBar" priority="2">
      <dataBar>
        <cfvo type="min"/>
        <cfvo type="max"/>
        <color rgb="FF63C384"/>
      </dataBar>
      <extLst>
        <ext xmlns:x14="http://schemas.microsoft.com/office/spreadsheetml/2009/9/main" uri="{B025F937-C7B1-47D3-B67F-A62EFF666E3E}">
          <x14:id>{A918E683-FD79-4F93-B43C-813B955EC983}</x14:id>
        </ext>
      </extLst>
    </cfRule>
  </conditionalFormatting>
  <conditionalFormatting sqref="M1:M1048576">
    <cfRule type="iconSet" priority="1">
      <iconSet reverse="1">
        <cfvo type="percent" val="0"/>
        <cfvo type="num" val="5"/>
        <cfvo type="num" val="14"/>
      </iconSe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4605B84-7625-4754-89F1-B27F5728E0F1}">
            <x14:dataBar minLength="0" maxLength="100" gradient="0">
              <x14:cfvo type="autoMin"/>
              <x14:cfvo type="autoMax"/>
              <x14:negativeFillColor rgb="FFFF0000"/>
              <x14:axisColor rgb="FF000000"/>
            </x14:dataBar>
          </x14:cfRule>
          <xm:sqref>H2:H140</xm:sqref>
        </x14:conditionalFormatting>
        <x14:conditionalFormatting xmlns:xm="http://schemas.microsoft.com/office/excel/2006/main">
          <x14:cfRule type="dataBar" id="{9AD62EDE-C677-4DDE-86F7-4E02A59BAC11}">
            <x14:dataBar minLength="0" maxLength="100" gradient="0">
              <x14:cfvo type="autoMin"/>
              <x14:cfvo type="autoMax"/>
              <x14:negativeFillColor rgb="FFFF0000"/>
              <x14:axisColor rgb="FF000000"/>
            </x14:dataBar>
          </x14:cfRule>
          <xm:sqref>H1:H1048576</xm:sqref>
        </x14:conditionalFormatting>
        <x14:conditionalFormatting xmlns:xm="http://schemas.microsoft.com/office/excel/2006/main">
          <x14:cfRule type="dataBar" id="{A918E683-FD79-4F93-B43C-813B955EC983}">
            <x14:dataBar minLength="0" maxLength="100" gradient="0">
              <x14:cfvo type="autoMin"/>
              <x14:cfvo type="autoMax"/>
              <x14:negativeFillColor rgb="FFFF0000"/>
              <x14:axisColor rgb="FF000000"/>
            </x14:dataBar>
          </x14:cfRule>
          <xm:sqref>K1:K1048576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807C-0234-4E74-B97A-ED98A8F40F62}">
  <dimension ref="A2:AI103"/>
  <sheetViews>
    <sheetView workbookViewId="0">
      <selection activeCell="G7" sqref="G7"/>
    </sheetView>
  </sheetViews>
  <sheetFormatPr defaultRowHeight="15" x14ac:dyDescent="0.25"/>
  <cols>
    <col min="7" max="7" width="12.85546875" customWidth="1"/>
    <col min="8" max="8" width="21.5703125" customWidth="1"/>
    <col min="11" max="11" width="21.5703125" bestFit="1" customWidth="1"/>
    <col min="18" max="18" width="22.42578125" customWidth="1"/>
    <col min="21" max="21" width="36.5703125" bestFit="1" customWidth="1"/>
    <col min="33" max="33" width="22.42578125" customWidth="1"/>
    <col min="34" max="34" width="9.42578125" bestFit="1" customWidth="1"/>
  </cols>
  <sheetData>
    <row r="2" spans="1:35" x14ac:dyDescent="0.25">
      <c r="A2" s="4" t="s">
        <v>367</v>
      </c>
      <c r="B2" s="4"/>
      <c r="C2" s="4"/>
      <c r="D2" s="4"/>
    </row>
    <row r="4" spans="1:35" x14ac:dyDescent="0.25">
      <c r="A4" s="4" t="s">
        <v>366</v>
      </c>
      <c r="B4" s="4"/>
      <c r="C4" s="4"/>
      <c r="D4" s="4"/>
      <c r="E4" s="4"/>
      <c r="F4" s="4"/>
      <c r="G4" s="4"/>
      <c r="H4" s="4"/>
    </row>
    <row r="7" spans="1:35" x14ac:dyDescent="0.25">
      <c r="B7" s="7" t="s">
        <v>365</v>
      </c>
      <c r="C7" s="7"/>
      <c r="D7" s="7"/>
      <c r="E7" s="7"/>
      <c r="G7" s="7" t="s">
        <v>364</v>
      </c>
      <c r="H7" s="7"/>
      <c r="I7" s="7"/>
      <c r="J7" s="7"/>
      <c r="L7" s="7" t="s">
        <v>363</v>
      </c>
      <c r="M7" s="7"/>
      <c r="N7" s="7"/>
      <c r="O7" s="7"/>
      <c r="Q7" s="7" t="s">
        <v>362</v>
      </c>
      <c r="R7" s="7"/>
      <c r="S7" s="7"/>
      <c r="T7" s="7"/>
      <c r="V7" s="7" t="s">
        <v>361</v>
      </c>
      <c r="W7" s="7"/>
      <c r="X7" s="7"/>
      <c r="Y7" s="7"/>
      <c r="AA7" s="7" t="s">
        <v>360</v>
      </c>
      <c r="AB7" s="7"/>
      <c r="AC7" s="7"/>
      <c r="AD7" s="7"/>
      <c r="AF7" s="7" t="s">
        <v>359</v>
      </c>
      <c r="AG7" s="7"/>
      <c r="AH7" s="7"/>
      <c r="AI7" s="7"/>
    </row>
    <row r="8" spans="1:35" x14ac:dyDescent="0.25">
      <c r="B8" s="6" t="s">
        <v>358</v>
      </c>
      <c r="C8" s="6"/>
      <c r="D8" s="6" t="s">
        <v>357</v>
      </c>
      <c r="E8" s="6" t="s">
        <v>356</v>
      </c>
      <c r="G8" s="6" t="s">
        <v>358</v>
      </c>
      <c r="H8" s="6"/>
      <c r="I8" s="6" t="s">
        <v>357</v>
      </c>
      <c r="J8" s="6" t="s">
        <v>356</v>
      </c>
      <c r="L8" s="6" t="s">
        <v>358</v>
      </c>
      <c r="M8" s="6"/>
      <c r="N8" s="6" t="s">
        <v>357</v>
      </c>
      <c r="O8" s="6" t="s">
        <v>356</v>
      </c>
      <c r="Q8" s="6" t="s">
        <v>358</v>
      </c>
      <c r="R8" s="6"/>
      <c r="S8" s="6" t="s">
        <v>357</v>
      </c>
      <c r="T8" s="6" t="s">
        <v>356</v>
      </c>
      <c r="V8" s="6" t="s">
        <v>358</v>
      </c>
      <c r="W8" s="6"/>
      <c r="X8" s="6" t="s">
        <v>357</v>
      </c>
      <c r="Y8" s="6" t="s">
        <v>356</v>
      </c>
      <c r="AA8" s="6" t="s">
        <v>358</v>
      </c>
      <c r="AB8" s="6"/>
      <c r="AC8" s="6" t="s">
        <v>357</v>
      </c>
      <c r="AD8" s="6" t="s">
        <v>356</v>
      </c>
      <c r="AF8" s="6" t="s">
        <v>358</v>
      </c>
      <c r="AG8" s="6"/>
      <c r="AH8" s="6" t="s">
        <v>357</v>
      </c>
      <c r="AI8" s="6" t="s">
        <v>356</v>
      </c>
    </row>
    <row r="9" spans="1:35" x14ac:dyDescent="0.25">
      <c r="B9" s="11" t="s">
        <v>355</v>
      </c>
      <c r="C9" s="11"/>
      <c r="D9" s="4" t="s">
        <v>238</v>
      </c>
      <c r="G9" s="11" t="s">
        <v>354</v>
      </c>
      <c r="H9" s="11"/>
      <c r="I9" s="3" t="s">
        <v>171</v>
      </c>
      <c r="J9" t="s">
        <v>170</v>
      </c>
      <c r="L9" t="s">
        <v>353</v>
      </c>
      <c r="Q9" s="11" t="s">
        <v>352</v>
      </c>
      <c r="R9" s="11"/>
      <c r="S9" s="3" t="s">
        <v>171</v>
      </c>
      <c r="T9" t="s">
        <v>191</v>
      </c>
      <c r="AA9" t="s">
        <v>351</v>
      </c>
      <c r="AC9" s="3" t="s">
        <v>171</v>
      </c>
      <c r="AD9" t="s">
        <v>326</v>
      </c>
      <c r="AF9" s="11" t="s">
        <v>350</v>
      </c>
      <c r="AG9" s="11"/>
      <c r="AH9" s="3" t="s">
        <v>171</v>
      </c>
      <c r="AI9" t="s">
        <v>191</v>
      </c>
    </row>
    <row r="10" spans="1:35" x14ac:dyDescent="0.25">
      <c r="B10" s="11" t="s">
        <v>349</v>
      </c>
      <c r="C10" s="11"/>
      <c r="D10" s="3" t="s">
        <v>171</v>
      </c>
      <c r="E10" t="s">
        <v>170</v>
      </c>
      <c r="G10" s="11" t="s">
        <v>348</v>
      </c>
      <c r="H10" s="11"/>
      <c r="I10" t="s">
        <v>244</v>
      </c>
      <c r="L10" t="s">
        <v>347</v>
      </c>
      <c r="N10" s="3" t="s">
        <v>171</v>
      </c>
      <c r="O10" t="s">
        <v>191</v>
      </c>
      <c r="Q10" s="11" t="s">
        <v>346</v>
      </c>
      <c r="R10" s="11"/>
      <c r="S10" s="3" t="s">
        <v>171</v>
      </c>
      <c r="T10" t="s">
        <v>191</v>
      </c>
      <c r="AA10" t="s">
        <v>345</v>
      </c>
      <c r="AC10" s="3" t="s">
        <v>171</v>
      </c>
      <c r="AD10" t="s">
        <v>191</v>
      </c>
      <c r="AF10" s="11" t="s">
        <v>344</v>
      </c>
      <c r="AG10" s="11"/>
      <c r="AH10" s="4" t="s">
        <v>333</v>
      </c>
    </row>
    <row r="11" spans="1:35" x14ac:dyDescent="0.25">
      <c r="B11" s="11" t="s">
        <v>343</v>
      </c>
      <c r="C11" s="11"/>
      <c r="D11" s="3" t="s">
        <v>171</v>
      </c>
      <c r="E11" t="s">
        <v>170</v>
      </c>
      <c r="G11" s="11" t="s">
        <v>342</v>
      </c>
      <c r="H11" s="11"/>
      <c r="I11" s="3" t="s">
        <v>171</v>
      </c>
      <c r="J11" t="s">
        <v>170</v>
      </c>
      <c r="Q11" s="11" t="s">
        <v>341</v>
      </c>
      <c r="R11" s="11"/>
      <c r="S11" s="3" t="s">
        <v>171</v>
      </c>
      <c r="T11" t="s">
        <v>191</v>
      </c>
      <c r="AA11" t="s">
        <v>340</v>
      </c>
      <c r="AC11" s="3" t="s">
        <v>171</v>
      </c>
      <c r="AD11" t="s">
        <v>191</v>
      </c>
      <c r="AF11" s="11" t="s">
        <v>339</v>
      </c>
      <c r="AG11" s="11"/>
      <c r="AH11" s="3" t="s">
        <v>171</v>
      </c>
      <c r="AI11" t="s">
        <v>191</v>
      </c>
    </row>
    <row r="12" spans="1:35" x14ac:dyDescent="0.25">
      <c r="B12" s="11" t="s">
        <v>338</v>
      </c>
      <c r="C12" s="11"/>
      <c r="D12" s="3" t="s">
        <v>171</v>
      </c>
      <c r="E12" t="s">
        <v>170</v>
      </c>
      <c r="G12" s="11" t="s">
        <v>337</v>
      </c>
      <c r="H12" s="11"/>
      <c r="I12" s="3" t="s">
        <v>171</v>
      </c>
      <c r="J12" t="s">
        <v>191</v>
      </c>
      <c r="Q12" s="11" t="s">
        <v>336</v>
      </c>
      <c r="R12" s="11"/>
      <c r="S12" s="3" t="s">
        <v>171</v>
      </c>
      <c r="T12" t="s">
        <v>191</v>
      </c>
      <c r="AA12" t="s">
        <v>335</v>
      </c>
      <c r="AC12" s="3" t="s">
        <v>171</v>
      </c>
      <c r="AD12" t="s">
        <v>326</v>
      </c>
      <c r="AF12" s="11" t="s">
        <v>334</v>
      </c>
      <c r="AG12" s="11"/>
      <c r="AH12" s="4" t="s">
        <v>333</v>
      </c>
    </row>
    <row r="13" spans="1:35" x14ac:dyDescent="0.25">
      <c r="B13" s="11" t="s">
        <v>252</v>
      </c>
      <c r="C13" s="11"/>
      <c r="D13" s="4" t="s">
        <v>238</v>
      </c>
      <c r="G13" s="11" t="s">
        <v>123</v>
      </c>
      <c r="H13" s="11"/>
      <c r="I13" s="3" t="s">
        <v>171</v>
      </c>
      <c r="J13" t="s">
        <v>191</v>
      </c>
      <c r="Q13" s="11" t="s">
        <v>332</v>
      </c>
      <c r="R13" s="11"/>
      <c r="S13" s="3" t="s">
        <v>171</v>
      </c>
      <c r="T13" t="s">
        <v>191</v>
      </c>
      <c r="AA13" t="s">
        <v>331</v>
      </c>
      <c r="AC13" s="3" t="s">
        <v>171</v>
      </c>
      <c r="AD13" t="s">
        <v>326</v>
      </c>
    </row>
    <row r="14" spans="1:35" x14ac:dyDescent="0.25">
      <c r="B14" s="11" t="s">
        <v>330</v>
      </c>
      <c r="C14" s="11"/>
      <c r="D14" t="s">
        <v>244</v>
      </c>
      <c r="G14" s="11" t="s">
        <v>329</v>
      </c>
      <c r="H14" s="11"/>
      <c r="I14" s="3" t="s">
        <v>171</v>
      </c>
      <c r="J14" t="s">
        <v>170</v>
      </c>
      <c r="Q14" s="11" t="s">
        <v>328</v>
      </c>
      <c r="R14" s="11"/>
      <c r="S14" s="3" t="s">
        <v>171</v>
      </c>
      <c r="T14" t="s">
        <v>191</v>
      </c>
      <c r="AA14" t="s">
        <v>327</v>
      </c>
      <c r="AC14" s="3" t="s">
        <v>171</v>
      </c>
      <c r="AD14" t="s">
        <v>326</v>
      </c>
    </row>
    <row r="15" spans="1:35" x14ac:dyDescent="0.25">
      <c r="B15" s="11" t="s">
        <v>325</v>
      </c>
      <c r="C15" s="11"/>
      <c r="D15" s="3" t="s">
        <v>171</v>
      </c>
      <c r="E15" t="s">
        <v>170</v>
      </c>
      <c r="G15" s="11" t="s">
        <v>324</v>
      </c>
      <c r="H15" s="11"/>
      <c r="I15" s="3" t="s">
        <v>171</v>
      </c>
      <c r="J15" t="s">
        <v>170</v>
      </c>
      <c r="Q15" s="11" t="s">
        <v>323</v>
      </c>
      <c r="R15" s="11"/>
      <c r="S15" s="3" t="s">
        <v>171</v>
      </c>
      <c r="T15" t="s">
        <v>191</v>
      </c>
    </row>
    <row r="16" spans="1:35" x14ac:dyDescent="0.25">
      <c r="B16" s="11" t="s">
        <v>322</v>
      </c>
      <c r="C16" s="11"/>
      <c r="D16" s="3" t="s">
        <v>171</v>
      </c>
      <c r="E16" t="s">
        <v>170</v>
      </c>
      <c r="G16" s="11" t="s">
        <v>321</v>
      </c>
      <c r="H16" s="11"/>
      <c r="I16" s="3" t="s">
        <v>171</v>
      </c>
      <c r="J16" t="s">
        <v>170</v>
      </c>
      <c r="Q16" s="11" t="s">
        <v>320</v>
      </c>
      <c r="R16" s="11"/>
      <c r="S16" s="3" t="s">
        <v>171</v>
      </c>
      <c r="T16" t="s">
        <v>191</v>
      </c>
    </row>
    <row r="17" spans="2:21" x14ac:dyDescent="0.25">
      <c r="B17" s="11" t="s">
        <v>319</v>
      </c>
      <c r="C17" s="11"/>
      <c r="D17" s="3" t="s">
        <v>171</v>
      </c>
      <c r="E17" t="s">
        <v>170</v>
      </c>
      <c r="G17" s="11" t="s">
        <v>318</v>
      </c>
      <c r="H17" s="11"/>
      <c r="I17" s="3" t="s">
        <v>171</v>
      </c>
      <c r="J17" t="s">
        <v>170</v>
      </c>
      <c r="Q17" s="11" t="s">
        <v>317</v>
      </c>
      <c r="R17" s="11"/>
      <c r="S17" s="3" t="s">
        <v>171</v>
      </c>
      <c r="T17" t="s">
        <v>191</v>
      </c>
      <c r="U17" s="2"/>
    </row>
    <row r="18" spans="2:21" x14ac:dyDescent="0.25">
      <c r="B18" s="11" t="s">
        <v>316</v>
      </c>
      <c r="C18" s="11"/>
      <c r="D18" s="3" t="s">
        <v>171</v>
      </c>
      <c r="E18" t="s">
        <v>170</v>
      </c>
      <c r="G18" s="11" t="s">
        <v>315</v>
      </c>
      <c r="H18" s="11"/>
      <c r="I18" s="3" t="s">
        <v>171</v>
      </c>
      <c r="J18" t="s">
        <v>170</v>
      </c>
      <c r="Q18" s="11" t="s">
        <v>314</v>
      </c>
      <c r="R18" s="11"/>
      <c r="S18" s="3" t="s">
        <v>171</v>
      </c>
      <c r="T18" t="s">
        <v>191</v>
      </c>
    </row>
    <row r="19" spans="2:21" x14ac:dyDescent="0.25">
      <c r="B19" s="11" t="s">
        <v>313</v>
      </c>
      <c r="C19" s="11"/>
      <c r="D19" s="3" t="s">
        <v>171</v>
      </c>
      <c r="E19" t="s">
        <v>170</v>
      </c>
      <c r="G19" s="11" t="s">
        <v>312</v>
      </c>
      <c r="H19" s="11"/>
      <c r="I19" s="3" t="s">
        <v>171</v>
      </c>
      <c r="J19" t="s">
        <v>170</v>
      </c>
      <c r="Q19" s="11" t="s">
        <v>311</v>
      </c>
      <c r="R19" s="11"/>
      <c r="S19" s="3" t="s">
        <v>171</v>
      </c>
      <c r="T19" t="s">
        <v>191</v>
      </c>
    </row>
    <row r="20" spans="2:21" x14ac:dyDescent="0.25">
      <c r="B20" s="11" t="s">
        <v>310</v>
      </c>
      <c r="C20" s="11"/>
      <c r="D20" s="3" t="s">
        <v>171</v>
      </c>
      <c r="E20" t="s">
        <v>170</v>
      </c>
      <c r="G20" s="11" t="s">
        <v>309</v>
      </c>
      <c r="H20" s="11"/>
      <c r="I20" s="3" t="s">
        <v>171</v>
      </c>
      <c r="J20" t="s">
        <v>170</v>
      </c>
      <c r="Q20" s="11" t="s">
        <v>308</v>
      </c>
      <c r="R20" s="11"/>
      <c r="S20" s="4" t="s">
        <v>238</v>
      </c>
    </row>
    <row r="21" spans="2:21" x14ac:dyDescent="0.25">
      <c r="B21" s="11" t="s">
        <v>307</v>
      </c>
      <c r="C21" s="11"/>
      <c r="D21" s="3" t="s">
        <v>171</v>
      </c>
      <c r="E21" t="s">
        <v>170</v>
      </c>
      <c r="G21" s="11" t="s">
        <v>306</v>
      </c>
      <c r="H21" s="11"/>
      <c r="I21" s="3" t="s">
        <v>171</v>
      </c>
      <c r="J21" t="s">
        <v>170</v>
      </c>
      <c r="Q21" s="11" t="s">
        <v>305</v>
      </c>
      <c r="R21" s="11"/>
      <c r="S21" s="3" t="s">
        <v>171</v>
      </c>
      <c r="T21" t="s">
        <v>191</v>
      </c>
    </row>
    <row r="22" spans="2:21" x14ac:dyDescent="0.25">
      <c r="B22" s="11" t="s">
        <v>304</v>
      </c>
      <c r="C22" s="11"/>
      <c r="D22" s="3" t="s">
        <v>171</v>
      </c>
      <c r="E22" t="s">
        <v>170</v>
      </c>
      <c r="G22" s="11" t="s">
        <v>303</v>
      </c>
      <c r="H22" s="11"/>
      <c r="I22" s="3" t="s">
        <v>171</v>
      </c>
      <c r="J22" t="s">
        <v>170</v>
      </c>
      <c r="Q22" s="11" t="s">
        <v>302</v>
      </c>
      <c r="R22" s="11"/>
      <c r="S22" s="4" t="s">
        <v>238</v>
      </c>
    </row>
    <row r="23" spans="2:21" x14ac:dyDescent="0.25">
      <c r="B23" s="11" t="s">
        <v>301</v>
      </c>
      <c r="C23" s="11"/>
      <c r="D23" s="4" t="s">
        <v>238</v>
      </c>
      <c r="G23" s="11" t="s">
        <v>300</v>
      </c>
      <c r="H23" s="11"/>
      <c r="I23" s="4" t="s">
        <v>238</v>
      </c>
      <c r="Q23" s="11" t="s">
        <v>299</v>
      </c>
      <c r="R23" s="11"/>
      <c r="S23" s="3" t="s">
        <v>171</v>
      </c>
      <c r="T23" t="s">
        <v>191</v>
      </c>
    </row>
    <row r="24" spans="2:21" x14ac:dyDescent="0.25">
      <c r="B24" s="11" t="s">
        <v>298</v>
      </c>
      <c r="C24" s="11"/>
      <c r="D24" s="3" t="s">
        <v>171</v>
      </c>
      <c r="E24" t="s">
        <v>170</v>
      </c>
      <c r="G24" s="11" t="s">
        <v>297</v>
      </c>
      <c r="H24" s="11"/>
      <c r="I24" s="3" t="s">
        <v>171</v>
      </c>
      <c r="J24" t="s">
        <v>170</v>
      </c>
      <c r="Q24" s="11" t="s">
        <v>296</v>
      </c>
      <c r="R24" s="11"/>
      <c r="S24" s="3" t="s">
        <v>171</v>
      </c>
      <c r="T24" t="s">
        <v>191</v>
      </c>
    </row>
    <row r="25" spans="2:21" x14ac:dyDescent="0.25">
      <c r="B25" s="11" t="s">
        <v>295</v>
      </c>
      <c r="C25" s="11"/>
      <c r="D25" s="3" t="s">
        <v>171</v>
      </c>
      <c r="E25" t="s">
        <v>170</v>
      </c>
      <c r="G25" s="11" t="s">
        <v>294</v>
      </c>
      <c r="H25" s="11"/>
      <c r="I25" s="3" t="s">
        <v>171</v>
      </c>
      <c r="J25" t="s">
        <v>170</v>
      </c>
      <c r="Q25" s="11" t="s">
        <v>293</v>
      </c>
      <c r="R25" s="11"/>
      <c r="S25" s="4" t="s">
        <v>238</v>
      </c>
    </row>
    <row r="26" spans="2:21" x14ac:dyDescent="0.25">
      <c r="B26" s="11" t="s">
        <v>292</v>
      </c>
      <c r="C26" s="11"/>
      <c r="D26" s="3" t="s">
        <v>171</v>
      </c>
      <c r="E26" t="s">
        <v>170</v>
      </c>
      <c r="G26" s="11" t="s">
        <v>291</v>
      </c>
      <c r="H26" s="11"/>
      <c r="I26" s="3" t="s">
        <v>171</v>
      </c>
      <c r="J26" t="s">
        <v>170</v>
      </c>
      <c r="Q26" s="11" t="s">
        <v>290</v>
      </c>
      <c r="R26" s="11"/>
      <c r="S26" s="4" t="s">
        <v>238</v>
      </c>
      <c r="U26" s="2"/>
    </row>
    <row r="27" spans="2:21" x14ac:dyDescent="0.25">
      <c r="B27" s="11" t="s">
        <v>289</v>
      </c>
      <c r="C27" s="11"/>
      <c r="D27" s="3" t="s">
        <v>171</v>
      </c>
      <c r="E27" t="s">
        <v>170</v>
      </c>
      <c r="G27" s="11" t="s">
        <v>288</v>
      </c>
      <c r="H27" s="11"/>
      <c r="I27" s="3" t="s">
        <v>171</v>
      </c>
      <c r="J27" t="s">
        <v>170</v>
      </c>
      <c r="Q27" s="11" t="s">
        <v>287</v>
      </c>
      <c r="R27" s="11"/>
      <c r="S27" s="4" t="s">
        <v>238</v>
      </c>
      <c r="U27" s="5"/>
    </row>
    <row r="28" spans="2:21" x14ac:dyDescent="0.25">
      <c r="B28" s="11" t="s">
        <v>286</v>
      </c>
      <c r="C28" s="11"/>
      <c r="D28" s="3" t="s">
        <v>171</v>
      </c>
      <c r="E28" t="s">
        <v>170</v>
      </c>
      <c r="G28" s="11" t="s">
        <v>285</v>
      </c>
      <c r="H28" s="11"/>
      <c r="I28" s="3" t="s">
        <v>171</v>
      </c>
      <c r="J28" t="s">
        <v>170</v>
      </c>
      <c r="Q28" s="11" t="s">
        <v>284</v>
      </c>
      <c r="R28" s="11"/>
      <c r="S28" s="3" t="s">
        <v>171</v>
      </c>
      <c r="T28" t="s">
        <v>191</v>
      </c>
    </row>
    <row r="29" spans="2:21" x14ac:dyDescent="0.25">
      <c r="B29" s="11" t="s">
        <v>283</v>
      </c>
      <c r="C29" s="11"/>
      <c r="D29" s="3" t="s">
        <v>171</v>
      </c>
      <c r="E29" t="s">
        <v>170</v>
      </c>
      <c r="G29" s="11" t="s">
        <v>282</v>
      </c>
      <c r="H29" s="11"/>
      <c r="I29" s="3" t="s">
        <v>171</v>
      </c>
      <c r="J29" t="s">
        <v>170</v>
      </c>
      <c r="Q29" s="11" t="s">
        <v>281</v>
      </c>
      <c r="R29" s="11"/>
      <c r="S29" s="3" t="s">
        <v>171</v>
      </c>
      <c r="T29" t="s">
        <v>191</v>
      </c>
    </row>
    <row r="30" spans="2:21" x14ac:dyDescent="0.25">
      <c r="B30" s="11" t="s">
        <v>280</v>
      </c>
      <c r="C30" s="11"/>
      <c r="D30" s="3" t="s">
        <v>171</v>
      </c>
      <c r="E30" t="s">
        <v>170</v>
      </c>
      <c r="G30" s="11" t="s">
        <v>279</v>
      </c>
      <c r="H30" s="11"/>
      <c r="I30" s="3" t="s">
        <v>171</v>
      </c>
      <c r="J30" t="s">
        <v>170</v>
      </c>
      <c r="Q30" s="11" t="s">
        <v>278</v>
      </c>
      <c r="R30" s="11"/>
      <c r="S30" s="3" t="s">
        <v>171</v>
      </c>
      <c r="T30" t="s">
        <v>191</v>
      </c>
    </row>
    <row r="31" spans="2:21" x14ac:dyDescent="0.25">
      <c r="B31" s="11" t="s">
        <v>277</v>
      </c>
      <c r="C31" s="11"/>
      <c r="D31" s="3" t="s">
        <v>171</v>
      </c>
      <c r="E31" t="s">
        <v>170</v>
      </c>
      <c r="G31" s="11" t="s">
        <v>276</v>
      </c>
      <c r="H31" s="11"/>
      <c r="I31" s="3" t="s">
        <v>171</v>
      </c>
      <c r="J31" t="s">
        <v>170</v>
      </c>
      <c r="Q31" s="11" t="s">
        <v>275</v>
      </c>
      <c r="R31" s="11"/>
      <c r="S31" s="3" t="s">
        <v>171</v>
      </c>
      <c r="T31" t="s">
        <v>191</v>
      </c>
    </row>
    <row r="32" spans="2:21" x14ac:dyDescent="0.25">
      <c r="B32" s="11" t="s">
        <v>274</v>
      </c>
      <c r="C32" s="11"/>
      <c r="D32" s="3" t="s">
        <v>171</v>
      </c>
      <c r="E32" t="s">
        <v>170</v>
      </c>
      <c r="G32" s="11" t="s">
        <v>273</v>
      </c>
      <c r="H32" s="11"/>
      <c r="I32" s="3" t="s">
        <v>171</v>
      </c>
      <c r="J32" t="s">
        <v>170</v>
      </c>
    </row>
    <row r="33" spans="2:10" x14ac:dyDescent="0.25">
      <c r="B33" s="11" t="s">
        <v>272</v>
      </c>
      <c r="C33" s="11"/>
      <c r="D33" s="3" t="s">
        <v>171</v>
      </c>
      <c r="E33" t="s">
        <v>170</v>
      </c>
      <c r="G33" s="11" t="s">
        <v>271</v>
      </c>
      <c r="H33" s="11"/>
      <c r="I33" s="3" t="s">
        <v>171</v>
      </c>
      <c r="J33" t="s">
        <v>170</v>
      </c>
    </row>
    <row r="34" spans="2:10" x14ac:dyDescent="0.25">
      <c r="B34" s="11" t="s">
        <v>270</v>
      </c>
      <c r="C34" s="11"/>
      <c r="D34" s="3" t="s">
        <v>171</v>
      </c>
      <c r="E34" t="s">
        <v>170</v>
      </c>
      <c r="G34" s="11" t="s">
        <v>269</v>
      </c>
      <c r="H34" s="11"/>
      <c r="I34" s="3" t="s">
        <v>171</v>
      </c>
      <c r="J34" t="s">
        <v>170</v>
      </c>
    </row>
    <row r="35" spans="2:10" x14ac:dyDescent="0.25">
      <c r="B35" s="11" t="s">
        <v>268</v>
      </c>
      <c r="C35" s="11"/>
      <c r="D35" s="3" t="s">
        <v>171</v>
      </c>
      <c r="E35" t="s">
        <v>170</v>
      </c>
      <c r="G35" s="11" t="s">
        <v>267</v>
      </c>
      <c r="H35" s="11"/>
      <c r="I35" s="3" t="s">
        <v>171</v>
      </c>
      <c r="J35" t="s">
        <v>170</v>
      </c>
    </row>
    <row r="36" spans="2:10" x14ac:dyDescent="0.25">
      <c r="B36" s="11" t="s">
        <v>266</v>
      </c>
      <c r="C36" s="11"/>
      <c r="D36" s="3" t="s">
        <v>171</v>
      </c>
      <c r="E36" t="s">
        <v>170</v>
      </c>
      <c r="G36" s="11" t="s">
        <v>265</v>
      </c>
      <c r="H36" s="11"/>
      <c r="I36" s="3" t="s">
        <v>171</v>
      </c>
      <c r="J36" t="s">
        <v>170</v>
      </c>
    </row>
    <row r="37" spans="2:10" x14ac:dyDescent="0.25">
      <c r="B37" s="11" t="s">
        <v>264</v>
      </c>
      <c r="C37" s="11"/>
      <c r="D37" s="3" t="s">
        <v>171</v>
      </c>
      <c r="E37" t="s">
        <v>170</v>
      </c>
      <c r="G37" s="11" t="s">
        <v>263</v>
      </c>
      <c r="H37" s="11"/>
      <c r="I37" s="3" t="s">
        <v>171</v>
      </c>
      <c r="J37" t="s">
        <v>170</v>
      </c>
    </row>
    <row r="38" spans="2:10" x14ac:dyDescent="0.25">
      <c r="B38" s="11" t="s">
        <v>262</v>
      </c>
      <c r="C38" s="11"/>
      <c r="D38" s="3" t="s">
        <v>171</v>
      </c>
      <c r="E38" t="s">
        <v>170</v>
      </c>
      <c r="G38" s="11" t="s">
        <v>261</v>
      </c>
      <c r="H38" s="11"/>
      <c r="I38" s="4" t="s">
        <v>238</v>
      </c>
    </row>
    <row r="39" spans="2:10" x14ac:dyDescent="0.25">
      <c r="B39" s="11" t="s">
        <v>260</v>
      </c>
      <c r="C39" s="11"/>
      <c r="D39" s="3" t="s">
        <v>171</v>
      </c>
      <c r="E39" t="s">
        <v>170</v>
      </c>
      <c r="G39" s="11" t="s">
        <v>259</v>
      </c>
      <c r="H39" s="11"/>
      <c r="I39" s="3" t="s">
        <v>171</v>
      </c>
      <c r="J39" t="s">
        <v>170</v>
      </c>
    </row>
    <row r="40" spans="2:10" x14ac:dyDescent="0.25">
      <c r="B40" s="11" t="s">
        <v>258</v>
      </c>
      <c r="C40" s="11"/>
      <c r="D40" s="3" t="s">
        <v>171</v>
      </c>
      <c r="E40" t="s">
        <v>170</v>
      </c>
      <c r="G40" s="11" t="s">
        <v>257</v>
      </c>
      <c r="H40" s="11"/>
      <c r="I40" s="3" t="s">
        <v>171</v>
      </c>
      <c r="J40" t="s">
        <v>170</v>
      </c>
    </row>
    <row r="41" spans="2:10" x14ac:dyDescent="0.25">
      <c r="B41" s="11" t="s">
        <v>256</v>
      </c>
      <c r="C41" s="11"/>
      <c r="D41" s="3" t="s">
        <v>171</v>
      </c>
      <c r="E41" t="s">
        <v>170</v>
      </c>
      <c r="G41" s="11" t="s">
        <v>255</v>
      </c>
      <c r="H41" s="11"/>
      <c r="I41" s="3" t="s">
        <v>171</v>
      </c>
      <c r="J41" t="s">
        <v>170</v>
      </c>
    </row>
    <row r="42" spans="2:10" x14ac:dyDescent="0.25">
      <c r="B42" s="11" t="s">
        <v>254</v>
      </c>
      <c r="C42" s="11"/>
      <c r="D42" s="3" t="s">
        <v>171</v>
      </c>
      <c r="E42" t="s">
        <v>170</v>
      </c>
      <c r="G42" s="11" t="s">
        <v>253</v>
      </c>
      <c r="H42" s="11"/>
      <c r="I42" s="3" t="s">
        <v>171</v>
      </c>
      <c r="J42" t="s">
        <v>170</v>
      </c>
    </row>
    <row r="43" spans="2:10" x14ac:dyDescent="0.25">
      <c r="B43" s="11" t="s">
        <v>252</v>
      </c>
      <c r="C43" s="11"/>
      <c r="D43" s="4" t="s">
        <v>238</v>
      </c>
      <c r="G43" s="11" t="s">
        <v>251</v>
      </c>
      <c r="H43" s="11"/>
      <c r="I43" s="3" t="s">
        <v>171</v>
      </c>
      <c r="J43" t="s">
        <v>170</v>
      </c>
    </row>
    <row r="44" spans="2:10" x14ac:dyDescent="0.25">
      <c r="B44" s="11" t="s">
        <v>250</v>
      </c>
      <c r="C44" s="11"/>
      <c r="D44" s="3" t="s">
        <v>171</v>
      </c>
      <c r="E44" t="s">
        <v>170</v>
      </c>
      <c r="G44" s="11" t="s">
        <v>249</v>
      </c>
      <c r="H44" s="11"/>
      <c r="I44" s="3" t="s">
        <v>171</v>
      </c>
      <c r="J44" t="s">
        <v>170</v>
      </c>
    </row>
    <row r="45" spans="2:10" x14ac:dyDescent="0.25">
      <c r="B45" s="11" t="s">
        <v>248</v>
      </c>
      <c r="C45" s="11"/>
      <c r="D45" s="3" t="s">
        <v>171</v>
      </c>
      <c r="E45" t="s">
        <v>170</v>
      </c>
      <c r="G45" s="11" t="s">
        <v>247</v>
      </c>
      <c r="H45" s="11"/>
      <c r="I45" s="4" t="s">
        <v>238</v>
      </c>
    </row>
    <row r="46" spans="2:10" x14ac:dyDescent="0.25">
      <c r="B46" s="11" t="s">
        <v>246</v>
      </c>
      <c r="C46" s="11"/>
      <c r="D46" s="3" t="s">
        <v>171</v>
      </c>
      <c r="E46" t="s">
        <v>170</v>
      </c>
      <c r="G46" s="11" t="s">
        <v>245</v>
      </c>
      <c r="H46" s="11"/>
      <c r="I46" t="s">
        <v>244</v>
      </c>
    </row>
    <row r="47" spans="2:10" x14ac:dyDescent="0.25">
      <c r="B47" s="11" t="s">
        <v>243</v>
      </c>
      <c r="C47" s="11"/>
      <c r="D47" s="3" t="s">
        <v>171</v>
      </c>
      <c r="E47" t="s">
        <v>170</v>
      </c>
      <c r="G47" s="11" t="s">
        <v>242</v>
      </c>
      <c r="H47" s="11"/>
      <c r="I47" s="3" t="s">
        <v>171</v>
      </c>
      <c r="J47" t="s">
        <v>170</v>
      </c>
    </row>
    <row r="48" spans="2:10" x14ac:dyDescent="0.25">
      <c r="B48" s="11" t="s">
        <v>241</v>
      </c>
      <c r="C48" s="11"/>
      <c r="D48" s="3" t="s">
        <v>171</v>
      </c>
      <c r="E48" t="s">
        <v>170</v>
      </c>
      <c r="G48" s="11" t="s">
        <v>240</v>
      </c>
      <c r="H48" s="11"/>
      <c r="I48" s="3" t="s">
        <v>171</v>
      </c>
      <c r="J48" t="s">
        <v>170</v>
      </c>
    </row>
    <row r="49" spans="2:10" x14ac:dyDescent="0.25">
      <c r="B49" s="11" t="s">
        <v>239</v>
      </c>
      <c r="C49" s="11"/>
      <c r="D49" s="4" t="s">
        <v>238</v>
      </c>
      <c r="G49" s="11" t="s">
        <v>237</v>
      </c>
      <c r="H49" s="11"/>
      <c r="I49" s="3" t="s">
        <v>171</v>
      </c>
      <c r="J49" t="s">
        <v>170</v>
      </c>
    </row>
    <row r="50" spans="2:10" x14ac:dyDescent="0.25">
      <c r="B50" s="11" t="s">
        <v>236</v>
      </c>
      <c r="C50" s="11"/>
      <c r="D50" s="3" t="s">
        <v>171</v>
      </c>
      <c r="E50" t="s">
        <v>170</v>
      </c>
      <c r="G50" s="11" t="s">
        <v>235</v>
      </c>
      <c r="H50" s="11"/>
      <c r="I50" s="3" t="s">
        <v>171</v>
      </c>
      <c r="J50" t="s">
        <v>170</v>
      </c>
    </row>
    <row r="51" spans="2:10" x14ac:dyDescent="0.25">
      <c r="B51" s="11" t="s">
        <v>234</v>
      </c>
      <c r="C51" s="11"/>
      <c r="D51" s="3" t="s">
        <v>171</v>
      </c>
      <c r="E51" t="s">
        <v>170</v>
      </c>
      <c r="G51" s="11" t="s">
        <v>233</v>
      </c>
      <c r="H51" s="11"/>
      <c r="I51" s="3" t="s">
        <v>171</v>
      </c>
      <c r="J51" t="s">
        <v>170</v>
      </c>
    </row>
    <row r="52" spans="2:10" x14ac:dyDescent="0.25">
      <c r="B52" s="11" t="s">
        <v>215</v>
      </c>
      <c r="C52" s="11"/>
      <c r="D52" s="3" t="s">
        <v>171</v>
      </c>
      <c r="E52" t="s">
        <v>170</v>
      </c>
      <c r="G52" s="11" t="s">
        <v>232</v>
      </c>
      <c r="H52" s="11"/>
      <c r="I52" s="3" t="s">
        <v>171</v>
      </c>
      <c r="J52" t="s">
        <v>170</v>
      </c>
    </row>
    <row r="53" spans="2:10" x14ac:dyDescent="0.25">
      <c r="B53" s="11" t="s">
        <v>231</v>
      </c>
      <c r="C53" s="11"/>
      <c r="D53" s="3" t="s">
        <v>171</v>
      </c>
      <c r="E53" t="s">
        <v>170</v>
      </c>
      <c r="G53" s="11" t="s">
        <v>230</v>
      </c>
      <c r="H53" s="11"/>
      <c r="I53" s="3" t="s">
        <v>171</v>
      </c>
      <c r="J53" t="s">
        <v>170</v>
      </c>
    </row>
    <row r="54" spans="2:10" x14ac:dyDescent="0.25">
      <c r="B54" s="11" t="s">
        <v>229</v>
      </c>
      <c r="C54" s="11"/>
      <c r="D54" s="3" t="s">
        <v>171</v>
      </c>
      <c r="E54" t="s">
        <v>170</v>
      </c>
      <c r="G54" s="11" t="s">
        <v>228</v>
      </c>
      <c r="H54" s="11"/>
      <c r="I54" s="3" t="s">
        <v>171</v>
      </c>
      <c r="J54" t="s">
        <v>170</v>
      </c>
    </row>
    <row r="55" spans="2:10" x14ac:dyDescent="0.25">
      <c r="B55" s="11" t="s">
        <v>227</v>
      </c>
      <c r="C55" s="11"/>
      <c r="D55" s="3" t="s">
        <v>171</v>
      </c>
      <c r="E55" t="s">
        <v>170</v>
      </c>
      <c r="G55" s="11" t="s">
        <v>226</v>
      </c>
      <c r="H55" s="11"/>
      <c r="I55" s="3" t="s">
        <v>171</v>
      </c>
      <c r="J55" t="s">
        <v>170</v>
      </c>
    </row>
    <row r="56" spans="2:10" x14ac:dyDescent="0.25">
      <c r="B56" s="11" t="s">
        <v>225</v>
      </c>
      <c r="C56" s="11"/>
      <c r="D56" s="3" t="s">
        <v>171</v>
      </c>
      <c r="E56" t="s">
        <v>170</v>
      </c>
      <c r="G56" s="11" t="s">
        <v>224</v>
      </c>
      <c r="H56" s="11"/>
      <c r="I56" s="3" t="s">
        <v>171</v>
      </c>
      <c r="J56" t="s">
        <v>170</v>
      </c>
    </row>
    <row r="57" spans="2:10" x14ac:dyDescent="0.25">
      <c r="B57" s="11" t="s">
        <v>223</v>
      </c>
      <c r="C57" s="11"/>
      <c r="D57" s="3" t="s">
        <v>171</v>
      </c>
      <c r="E57" t="s">
        <v>170</v>
      </c>
      <c r="G57" s="11" t="s">
        <v>222</v>
      </c>
      <c r="H57" s="11"/>
      <c r="I57" s="3" t="s">
        <v>171</v>
      </c>
      <c r="J57" t="s">
        <v>170</v>
      </c>
    </row>
    <row r="58" spans="2:10" x14ac:dyDescent="0.25">
      <c r="B58" s="11" t="s">
        <v>221</v>
      </c>
      <c r="C58" s="11"/>
      <c r="D58" s="3" t="s">
        <v>171</v>
      </c>
      <c r="E58" t="s">
        <v>170</v>
      </c>
      <c r="G58" s="11" t="s">
        <v>220</v>
      </c>
      <c r="H58" s="11"/>
      <c r="I58" s="3" t="s">
        <v>171</v>
      </c>
      <c r="J58" t="s">
        <v>170</v>
      </c>
    </row>
    <row r="59" spans="2:10" x14ac:dyDescent="0.25">
      <c r="B59" s="11" t="s">
        <v>219</v>
      </c>
      <c r="C59" s="11"/>
      <c r="D59" s="3" t="s">
        <v>171</v>
      </c>
      <c r="E59" t="s">
        <v>170</v>
      </c>
      <c r="G59" s="11" t="s">
        <v>218</v>
      </c>
      <c r="H59" s="11"/>
      <c r="I59" s="3" t="s">
        <v>171</v>
      </c>
      <c r="J59" t="s">
        <v>170</v>
      </c>
    </row>
    <row r="60" spans="2:10" x14ac:dyDescent="0.25">
      <c r="B60" s="11" t="s">
        <v>217</v>
      </c>
      <c r="C60" s="11"/>
      <c r="D60" s="3" t="s">
        <v>171</v>
      </c>
      <c r="E60" t="s">
        <v>170</v>
      </c>
      <c r="G60" s="11" t="s">
        <v>216</v>
      </c>
      <c r="H60" s="11"/>
      <c r="I60" s="3" t="s">
        <v>171</v>
      </c>
      <c r="J60" t="s">
        <v>170</v>
      </c>
    </row>
    <row r="61" spans="2:10" x14ac:dyDescent="0.25">
      <c r="G61" s="11" t="s">
        <v>215</v>
      </c>
      <c r="H61" s="11"/>
      <c r="I61" s="3" t="s">
        <v>171</v>
      </c>
      <c r="J61" t="s">
        <v>170</v>
      </c>
    </row>
    <row r="62" spans="2:10" x14ac:dyDescent="0.25">
      <c r="G62" s="11" t="s">
        <v>214</v>
      </c>
      <c r="H62" s="11"/>
      <c r="I62" s="3" t="s">
        <v>171</v>
      </c>
      <c r="J62" t="s">
        <v>170</v>
      </c>
    </row>
    <row r="63" spans="2:10" x14ac:dyDescent="0.25">
      <c r="G63" s="11" t="s">
        <v>213</v>
      </c>
      <c r="H63" s="11"/>
      <c r="I63" s="3" t="s">
        <v>171</v>
      </c>
      <c r="J63" t="s">
        <v>170</v>
      </c>
    </row>
    <row r="64" spans="2:10" x14ac:dyDescent="0.25">
      <c r="G64" s="11" t="s">
        <v>212</v>
      </c>
      <c r="H64" s="11"/>
      <c r="I64" s="3" t="s">
        <v>171</v>
      </c>
      <c r="J64" t="s">
        <v>170</v>
      </c>
    </row>
    <row r="65" spans="7:10" x14ac:dyDescent="0.25">
      <c r="G65" s="11" t="s">
        <v>211</v>
      </c>
      <c r="H65" s="11"/>
      <c r="I65" s="3" t="s">
        <v>171</v>
      </c>
      <c r="J65" t="s">
        <v>170</v>
      </c>
    </row>
    <row r="66" spans="7:10" x14ac:dyDescent="0.25">
      <c r="G66" s="11" t="s">
        <v>210</v>
      </c>
      <c r="H66" s="11"/>
      <c r="I66" s="3" t="s">
        <v>171</v>
      </c>
      <c r="J66" t="s">
        <v>170</v>
      </c>
    </row>
    <row r="67" spans="7:10" x14ac:dyDescent="0.25">
      <c r="G67" s="11" t="s">
        <v>209</v>
      </c>
      <c r="H67" s="11"/>
      <c r="I67" s="3" t="s">
        <v>171</v>
      </c>
      <c r="J67" t="s">
        <v>170</v>
      </c>
    </row>
    <row r="68" spans="7:10" x14ac:dyDescent="0.25">
      <c r="G68" s="11" t="s">
        <v>208</v>
      </c>
      <c r="H68" s="11"/>
      <c r="I68" s="3" t="s">
        <v>171</v>
      </c>
      <c r="J68" t="s">
        <v>170</v>
      </c>
    </row>
    <row r="69" spans="7:10" x14ac:dyDescent="0.25">
      <c r="G69" s="11" t="s">
        <v>207</v>
      </c>
      <c r="H69" s="11"/>
      <c r="I69" s="3" t="s">
        <v>171</v>
      </c>
      <c r="J69" t="s">
        <v>170</v>
      </c>
    </row>
    <row r="70" spans="7:10" x14ac:dyDescent="0.25">
      <c r="G70" s="11" t="s">
        <v>206</v>
      </c>
      <c r="H70" s="11"/>
      <c r="I70" s="3" t="s">
        <v>171</v>
      </c>
      <c r="J70" t="s">
        <v>191</v>
      </c>
    </row>
    <row r="71" spans="7:10" x14ac:dyDescent="0.25">
      <c r="G71" s="11" t="s">
        <v>205</v>
      </c>
      <c r="H71" s="11"/>
      <c r="I71" s="3" t="s">
        <v>171</v>
      </c>
      <c r="J71" t="s">
        <v>170</v>
      </c>
    </row>
    <row r="72" spans="7:10" x14ac:dyDescent="0.25">
      <c r="G72" s="11" t="s">
        <v>204</v>
      </c>
      <c r="H72" s="11"/>
      <c r="I72" s="3" t="s">
        <v>171</v>
      </c>
      <c r="J72" t="s">
        <v>170</v>
      </c>
    </row>
    <row r="73" spans="7:10" x14ac:dyDescent="0.25">
      <c r="G73" s="11" t="s">
        <v>203</v>
      </c>
      <c r="H73" s="11"/>
      <c r="I73" s="3" t="s">
        <v>171</v>
      </c>
      <c r="J73" t="s">
        <v>170</v>
      </c>
    </row>
    <row r="74" spans="7:10" x14ac:dyDescent="0.25">
      <c r="G74" s="11" t="s">
        <v>202</v>
      </c>
      <c r="H74" s="11"/>
      <c r="I74" s="3" t="s">
        <v>171</v>
      </c>
      <c r="J74" t="s">
        <v>170</v>
      </c>
    </row>
    <row r="75" spans="7:10" x14ac:dyDescent="0.25">
      <c r="G75" s="11" t="s">
        <v>201</v>
      </c>
      <c r="H75" s="11"/>
      <c r="I75" s="3" t="s">
        <v>171</v>
      </c>
      <c r="J75" t="s">
        <v>191</v>
      </c>
    </row>
    <row r="76" spans="7:10" x14ac:dyDescent="0.25">
      <c r="G76" s="11" t="s">
        <v>200</v>
      </c>
      <c r="H76" s="11"/>
      <c r="I76" s="3" t="s">
        <v>171</v>
      </c>
      <c r="J76" t="s">
        <v>170</v>
      </c>
    </row>
    <row r="77" spans="7:10" x14ac:dyDescent="0.25">
      <c r="G77" s="11" t="s">
        <v>199</v>
      </c>
      <c r="H77" s="11"/>
      <c r="I77" s="3" t="s">
        <v>171</v>
      </c>
      <c r="J77" t="s">
        <v>170</v>
      </c>
    </row>
    <row r="78" spans="7:10" x14ac:dyDescent="0.25">
      <c r="G78" s="11" t="s">
        <v>198</v>
      </c>
      <c r="H78" s="11"/>
      <c r="I78" s="3" t="s">
        <v>171</v>
      </c>
      <c r="J78" t="s">
        <v>191</v>
      </c>
    </row>
    <row r="79" spans="7:10" x14ac:dyDescent="0.25">
      <c r="G79" s="11" t="s">
        <v>197</v>
      </c>
      <c r="H79" s="11"/>
      <c r="I79" s="3" t="s">
        <v>171</v>
      </c>
      <c r="J79" t="s">
        <v>170</v>
      </c>
    </row>
    <row r="80" spans="7:10" x14ac:dyDescent="0.25">
      <c r="G80" s="11" t="s">
        <v>196</v>
      </c>
      <c r="H80" s="11"/>
      <c r="I80" s="3" t="s">
        <v>171</v>
      </c>
      <c r="J80" t="s">
        <v>170</v>
      </c>
    </row>
    <row r="81" spans="7:10" x14ac:dyDescent="0.25">
      <c r="G81" s="11" t="s">
        <v>195</v>
      </c>
      <c r="H81" s="11"/>
      <c r="I81" s="3" t="s">
        <v>171</v>
      </c>
      <c r="J81" t="s">
        <v>170</v>
      </c>
    </row>
    <row r="82" spans="7:10" x14ac:dyDescent="0.25">
      <c r="G82" s="11" t="s">
        <v>194</v>
      </c>
      <c r="H82" s="11"/>
      <c r="I82" s="3" t="s">
        <v>171</v>
      </c>
      <c r="J82" t="s">
        <v>191</v>
      </c>
    </row>
    <row r="83" spans="7:10" x14ac:dyDescent="0.25">
      <c r="G83" s="11" t="s">
        <v>193</v>
      </c>
      <c r="H83" s="11"/>
      <c r="I83" s="3" t="s">
        <v>171</v>
      </c>
      <c r="J83" t="s">
        <v>191</v>
      </c>
    </row>
    <row r="84" spans="7:10" x14ac:dyDescent="0.25">
      <c r="G84" s="11" t="s">
        <v>192</v>
      </c>
      <c r="H84" s="11"/>
      <c r="I84" s="3" t="s">
        <v>171</v>
      </c>
      <c r="J84" t="s">
        <v>191</v>
      </c>
    </row>
    <row r="85" spans="7:10" x14ac:dyDescent="0.25">
      <c r="G85" s="11" t="s">
        <v>190</v>
      </c>
      <c r="H85" s="11"/>
      <c r="I85" s="3" t="s">
        <v>171</v>
      </c>
      <c r="J85" t="s">
        <v>170</v>
      </c>
    </row>
    <row r="86" spans="7:10" x14ac:dyDescent="0.25">
      <c r="G86" s="11" t="s">
        <v>189</v>
      </c>
      <c r="H86" s="11"/>
      <c r="I86" s="3" t="s">
        <v>171</v>
      </c>
      <c r="J86" t="s">
        <v>170</v>
      </c>
    </row>
    <row r="87" spans="7:10" x14ac:dyDescent="0.25">
      <c r="G87" s="11" t="s">
        <v>188</v>
      </c>
      <c r="H87" s="11"/>
      <c r="I87" s="3" t="s">
        <v>171</v>
      </c>
      <c r="J87" t="s">
        <v>170</v>
      </c>
    </row>
    <row r="88" spans="7:10" x14ac:dyDescent="0.25">
      <c r="G88" s="11" t="s">
        <v>187</v>
      </c>
      <c r="H88" s="11"/>
      <c r="I88" s="3" t="s">
        <v>171</v>
      </c>
      <c r="J88" t="s">
        <v>170</v>
      </c>
    </row>
    <row r="89" spans="7:10" x14ac:dyDescent="0.25">
      <c r="G89" s="11" t="s">
        <v>186</v>
      </c>
      <c r="H89" s="11"/>
      <c r="I89" s="3" t="s">
        <v>171</v>
      </c>
      <c r="J89" t="s">
        <v>170</v>
      </c>
    </row>
    <row r="90" spans="7:10" x14ac:dyDescent="0.25">
      <c r="G90" s="11" t="s">
        <v>185</v>
      </c>
      <c r="H90" s="11"/>
      <c r="I90" s="3" t="s">
        <v>171</v>
      </c>
      <c r="J90" t="s">
        <v>170</v>
      </c>
    </row>
    <row r="91" spans="7:10" x14ac:dyDescent="0.25">
      <c r="G91" s="11" t="s">
        <v>184</v>
      </c>
      <c r="H91" s="11"/>
      <c r="I91" s="3" t="s">
        <v>171</v>
      </c>
      <c r="J91" t="s">
        <v>170</v>
      </c>
    </row>
    <row r="92" spans="7:10" x14ac:dyDescent="0.25">
      <c r="G92" s="11" t="s">
        <v>183</v>
      </c>
      <c r="H92" s="11"/>
      <c r="I92" s="3" t="s">
        <v>171</v>
      </c>
      <c r="J92" t="s">
        <v>170</v>
      </c>
    </row>
    <row r="93" spans="7:10" x14ac:dyDescent="0.25">
      <c r="G93" s="11" t="s">
        <v>182</v>
      </c>
      <c r="H93" s="11"/>
      <c r="I93" s="3" t="s">
        <v>171</v>
      </c>
      <c r="J93" t="s">
        <v>170</v>
      </c>
    </row>
    <row r="94" spans="7:10" x14ac:dyDescent="0.25">
      <c r="G94" s="11" t="s">
        <v>181</v>
      </c>
      <c r="H94" s="11"/>
      <c r="I94" s="3" t="s">
        <v>171</v>
      </c>
      <c r="J94" t="s">
        <v>170</v>
      </c>
    </row>
    <row r="95" spans="7:10" x14ac:dyDescent="0.25">
      <c r="G95" s="11" t="s">
        <v>180</v>
      </c>
      <c r="H95" s="11"/>
      <c r="I95" s="3" t="s">
        <v>171</v>
      </c>
      <c r="J95" t="s">
        <v>170</v>
      </c>
    </row>
    <row r="96" spans="7:10" x14ac:dyDescent="0.25">
      <c r="G96" s="11" t="s">
        <v>179</v>
      </c>
      <c r="H96" s="11"/>
      <c r="I96" s="3" t="s">
        <v>171</v>
      </c>
      <c r="J96" t="s">
        <v>170</v>
      </c>
    </row>
    <row r="97" spans="7:10" x14ac:dyDescent="0.25">
      <c r="G97" s="11" t="s">
        <v>178</v>
      </c>
      <c r="H97" s="11"/>
      <c r="I97" s="3" t="s">
        <v>171</v>
      </c>
      <c r="J97" t="s">
        <v>170</v>
      </c>
    </row>
    <row r="98" spans="7:10" x14ac:dyDescent="0.25">
      <c r="G98" s="11" t="s">
        <v>177</v>
      </c>
      <c r="H98" s="11"/>
      <c r="I98" s="3" t="s">
        <v>171</v>
      </c>
      <c r="J98" t="s">
        <v>170</v>
      </c>
    </row>
    <row r="99" spans="7:10" x14ac:dyDescent="0.25">
      <c r="G99" s="11" t="s">
        <v>176</v>
      </c>
      <c r="H99" s="11"/>
      <c r="I99" s="3" t="s">
        <v>171</v>
      </c>
      <c r="J99" t="s">
        <v>170</v>
      </c>
    </row>
    <row r="100" spans="7:10" x14ac:dyDescent="0.25">
      <c r="G100" s="11" t="s">
        <v>175</v>
      </c>
      <c r="H100" s="11"/>
      <c r="I100" s="3" t="s">
        <v>171</v>
      </c>
      <c r="J100" t="s">
        <v>170</v>
      </c>
    </row>
    <row r="101" spans="7:10" x14ac:dyDescent="0.25">
      <c r="G101" s="11" t="s">
        <v>174</v>
      </c>
      <c r="H101" s="11"/>
      <c r="I101" s="3" t="s">
        <v>171</v>
      </c>
      <c r="J101" t="s">
        <v>170</v>
      </c>
    </row>
    <row r="102" spans="7:10" x14ac:dyDescent="0.25">
      <c r="G102" s="11" t="s">
        <v>173</v>
      </c>
      <c r="H102" s="11"/>
      <c r="I102" s="3" t="s">
        <v>171</v>
      </c>
      <c r="J102" t="s">
        <v>170</v>
      </c>
    </row>
    <row r="103" spans="7:10" x14ac:dyDescent="0.25">
      <c r="G103" s="11" t="s">
        <v>172</v>
      </c>
      <c r="H103" s="11"/>
      <c r="I103" s="3" t="s">
        <v>171</v>
      </c>
      <c r="J103" t="s">
        <v>170</v>
      </c>
    </row>
  </sheetData>
  <mergeCells count="174">
    <mergeCell ref="AF9:AG9"/>
    <mergeCell ref="AF10:AG10"/>
    <mergeCell ref="AF11:AG11"/>
    <mergeCell ref="AF12:AG12"/>
    <mergeCell ref="Q9:R9"/>
    <mergeCell ref="Q10:R10"/>
    <mergeCell ref="Q11:R11"/>
    <mergeCell ref="Q12:R12"/>
    <mergeCell ref="Q29:R29"/>
    <mergeCell ref="Q14:R14"/>
    <mergeCell ref="Q15:R15"/>
    <mergeCell ref="Q16:R16"/>
    <mergeCell ref="Q17:R17"/>
    <mergeCell ref="Q18:R18"/>
    <mergeCell ref="Q19:R19"/>
    <mergeCell ref="Q20:R20"/>
    <mergeCell ref="Q23:R23"/>
    <mergeCell ref="Q24:R24"/>
    <mergeCell ref="Q25:R25"/>
    <mergeCell ref="Q26:R26"/>
    <mergeCell ref="Q27:R27"/>
    <mergeCell ref="Q28:R28"/>
    <mergeCell ref="Q13:R13"/>
    <mergeCell ref="B44:C44"/>
    <mergeCell ref="B45:C45"/>
    <mergeCell ref="B46:C46"/>
    <mergeCell ref="B47:C47"/>
    <mergeCell ref="B48:C48"/>
    <mergeCell ref="B39:C39"/>
    <mergeCell ref="B40:C40"/>
    <mergeCell ref="B41:C41"/>
    <mergeCell ref="B42:C42"/>
    <mergeCell ref="Q21:R21"/>
    <mergeCell ref="Q22:R22"/>
    <mergeCell ref="Q30:R30"/>
    <mergeCell ref="Q31:R31"/>
    <mergeCell ref="B60:C60"/>
    <mergeCell ref="B49:C49"/>
    <mergeCell ref="B50:C50"/>
    <mergeCell ref="B51:C51"/>
    <mergeCell ref="B52:C52"/>
    <mergeCell ref="B53:C53"/>
    <mergeCell ref="B54:C54"/>
    <mergeCell ref="B55:C55"/>
    <mergeCell ref="B56:C56"/>
    <mergeCell ref="B57:C57"/>
    <mergeCell ref="B58:C58"/>
    <mergeCell ref="B59:C59"/>
    <mergeCell ref="B43:C43"/>
    <mergeCell ref="B32:C32"/>
    <mergeCell ref="B33:C33"/>
    <mergeCell ref="B34:C34"/>
    <mergeCell ref="B35:C35"/>
    <mergeCell ref="B36:C36"/>
    <mergeCell ref="B37:C37"/>
    <mergeCell ref="B38:C38"/>
    <mergeCell ref="B31:C31"/>
    <mergeCell ref="B20:C20"/>
    <mergeCell ref="B21:C21"/>
    <mergeCell ref="B22:C22"/>
    <mergeCell ref="B23:C23"/>
    <mergeCell ref="B24:C24"/>
    <mergeCell ref="B25:C25"/>
    <mergeCell ref="B26:C26"/>
    <mergeCell ref="B27:C27"/>
    <mergeCell ref="B28:C28"/>
    <mergeCell ref="B11:C11"/>
    <mergeCell ref="B12:C12"/>
    <mergeCell ref="B13:C13"/>
    <mergeCell ref="B14:C14"/>
    <mergeCell ref="B15:C15"/>
    <mergeCell ref="B16:C16"/>
    <mergeCell ref="B29:C29"/>
    <mergeCell ref="B30:C30"/>
    <mergeCell ref="G9:H9"/>
    <mergeCell ref="G10:H10"/>
    <mergeCell ref="G11:H11"/>
    <mergeCell ref="G12:H12"/>
    <mergeCell ref="G13:H13"/>
    <mergeCell ref="B19:C19"/>
    <mergeCell ref="B9:C9"/>
    <mergeCell ref="B10:C10"/>
    <mergeCell ref="G23:H23"/>
    <mergeCell ref="G14:H14"/>
    <mergeCell ref="G15:H15"/>
    <mergeCell ref="G16:H16"/>
    <mergeCell ref="G17:H17"/>
    <mergeCell ref="G18:H18"/>
    <mergeCell ref="B17:C17"/>
    <mergeCell ref="B18:C18"/>
    <mergeCell ref="G19:H19"/>
    <mergeCell ref="G20:H20"/>
    <mergeCell ref="G21:H21"/>
    <mergeCell ref="G22:H22"/>
    <mergeCell ref="G29:H29"/>
    <mergeCell ref="G30:H30"/>
    <mergeCell ref="G31:H31"/>
    <mergeCell ref="G32:H32"/>
    <mergeCell ref="G33:H33"/>
    <mergeCell ref="G24:H24"/>
    <mergeCell ref="G25:H25"/>
    <mergeCell ref="G26:H26"/>
    <mergeCell ref="G27:H27"/>
    <mergeCell ref="G28:H28"/>
    <mergeCell ref="G39:H39"/>
    <mergeCell ref="G40:H40"/>
    <mergeCell ref="G41:H41"/>
    <mergeCell ref="G42:H42"/>
    <mergeCell ref="G43:H43"/>
    <mergeCell ref="G34:H34"/>
    <mergeCell ref="G35:H35"/>
    <mergeCell ref="G36:H36"/>
    <mergeCell ref="G37:H37"/>
    <mergeCell ref="G38:H38"/>
    <mergeCell ref="G49:H49"/>
    <mergeCell ref="G50:H50"/>
    <mergeCell ref="G51:H51"/>
    <mergeCell ref="G52:H52"/>
    <mergeCell ref="G53:H53"/>
    <mergeCell ref="G44:H44"/>
    <mergeCell ref="G45:H45"/>
    <mergeCell ref="G46:H46"/>
    <mergeCell ref="G47:H47"/>
    <mergeCell ref="G48:H48"/>
    <mergeCell ref="G59:H59"/>
    <mergeCell ref="G60:H60"/>
    <mergeCell ref="G61:H61"/>
    <mergeCell ref="G62:H62"/>
    <mergeCell ref="G63:H63"/>
    <mergeCell ref="G54:H54"/>
    <mergeCell ref="G55:H55"/>
    <mergeCell ref="G56:H56"/>
    <mergeCell ref="G57:H57"/>
    <mergeCell ref="G58:H58"/>
    <mergeCell ref="G69:H69"/>
    <mergeCell ref="G70:H70"/>
    <mergeCell ref="G71:H71"/>
    <mergeCell ref="G72:H72"/>
    <mergeCell ref="G73:H73"/>
    <mergeCell ref="G64:H64"/>
    <mergeCell ref="G65:H65"/>
    <mergeCell ref="G66:H66"/>
    <mergeCell ref="G67:H67"/>
    <mergeCell ref="G68:H68"/>
    <mergeCell ref="G79:H79"/>
    <mergeCell ref="G80:H80"/>
    <mergeCell ref="G81:H81"/>
    <mergeCell ref="G82:H82"/>
    <mergeCell ref="G83:H83"/>
    <mergeCell ref="G74:H74"/>
    <mergeCell ref="G75:H75"/>
    <mergeCell ref="G76:H76"/>
    <mergeCell ref="G77:H77"/>
    <mergeCell ref="G78:H78"/>
    <mergeCell ref="G103:H103"/>
    <mergeCell ref="G89:H89"/>
    <mergeCell ref="G90:H90"/>
    <mergeCell ref="G91:H91"/>
    <mergeCell ref="G92:H92"/>
    <mergeCell ref="G93:H93"/>
    <mergeCell ref="G95:H95"/>
    <mergeCell ref="G96:H96"/>
    <mergeCell ref="G97:H97"/>
    <mergeCell ref="G98:H98"/>
    <mergeCell ref="G99:H99"/>
    <mergeCell ref="G100:H100"/>
    <mergeCell ref="G101:H101"/>
    <mergeCell ref="G102:H102"/>
    <mergeCell ref="G84:H84"/>
    <mergeCell ref="G85:H85"/>
    <mergeCell ref="G86:H86"/>
    <mergeCell ref="G87:H87"/>
    <mergeCell ref="G88:H88"/>
    <mergeCell ref="G94:H9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Search Dashboard</vt:lpstr>
      <vt:lpstr>Parts Logistics</vt:lpstr>
      <vt:lpstr>Supplier Data</vt:lpstr>
      <vt:lpstr>Main Inventory</vt:lpstr>
      <vt:lpstr>Chemical 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Mollah Rafshan Rehan Annan</dc:creator>
  <cp:lastModifiedBy>Mollah Rafshan Rehan Annan</cp:lastModifiedBy>
  <dcterms:created xsi:type="dcterms:W3CDTF">2026-02-14T20:49:51Z</dcterms:created>
  <dcterms:modified xsi:type="dcterms:W3CDTF">2026-02-18T21:54:32Z</dcterms:modified>
</cp:coreProperties>
</file>